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radtrack\test\SRW\"/>
    </mc:Choice>
  </mc:AlternateContent>
  <bookViews>
    <workbookView xWindow="0" yWindow="0" windowWidth="24795" windowHeight="11910" tabRatio="804" activeTab="9"/>
  </bookViews>
  <sheets>
    <sheet name="UndParamsThin" sheetId="1" r:id="rId1"/>
    <sheet name="UndParamThick" sheetId="12" r:id="rId2"/>
    <sheet name="BeamParams" sheetId="9" r:id="rId3"/>
    <sheet name="PrecisionThin" sheetId="10" r:id="rId4"/>
    <sheet name="PrecisionThick" sheetId="11" r:id="rId5"/>
    <sheet name="wfr" sheetId="2" r:id="rId6"/>
    <sheet name="IDsNSLS-II" sheetId="13" r:id="rId7"/>
    <sheet name="IDsAPS" sheetId="16" r:id="rId8"/>
    <sheet name="IDsALS" sheetId="15" r:id="rId9"/>
    <sheet name="IDsESRF" sheetId="14" r:id="rId10"/>
  </sheets>
  <calcPr calcId="152511"/>
</workbook>
</file>

<file path=xl/calcChain.xml><?xml version="1.0" encoding="utf-8"?>
<calcChain xmlns="http://schemas.openxmlformats.org/spreadsheetml/2006/main">
  <c r="F12" i="9" l="1"/>
  <c r="F14" i="9"/>
  <c r="F15" i="9"/>
  <c r="F11" i="9"/>
  <c r="F9" i="9"/>
  <c r="E9" i="9"/>
  <c r="E11" i="9"/>
  <c r="E12" i="9"/>
  <c r="E14" i="9"/>
  <c r="C9" i="9"/>
  <c r="C11" i="9"/>
  <c r="C12" i="9"/>
  <c r="C14" i="9"/>
  <c r="C8" i="9"/>
  <c r="E8" i="9"/>
  <c r="F8" i="9"/>
  <c r="F8" i="12"/>
  <c r="E8" i="12"/>
  <c r="F7" i="12"/>
  <c r="E7" i="12"/>
  <c r="C22" i="2"/>
  <c r="C21" i="2"/>
  <c r="C20" i="2"/>
  <c r="C19" i="2"/>
</calcChain>
</file>

<file path=xl/sharedStrings.xml><?xml version="1.0" encoding="utf-8"?>
<sst xmlns="http://schemas.openxmlformats.org/spreadsheetml/2006/main" count="574" uniqueCount="372">
  <si>
    <t>Parameter</t>
  </si>
  <si>
    <t>Units</t>
  </si>
  <si>
    <t>m</t>
  </si>
  <si>
    <t>eV</t>
  </si>
  <si>
    <t>Value</t>
  </si>
  <si>
    <t>Comment</t>
  </si>
  <si>
    <t>Number of points along Energy</t>
  </si>
  <si>
    <t>Number of points along X</t>
  </si>
  <si>
    <t>Number of points along Y</t>
  </si>
  <si>
    <t>Initial Photon Energy</t>
  </si>
  <si>
    <t>Final Photon Energy</t>
  </si>
  <si>
    <t>Initial Horizontal Position</t>
  </si>
  <si>
    <t>Initial Vertical Position</t>
  </si>
  <si>
    <t>Final Horizontal Position</t>
  </si>
  <si>
    <t>Final Vertical Position</t>
  </si>
  <si>
    <t>sampling factor for adjusting nx, ny (effective if &gt; 0)</t>
  </si>
  <si>
    <t>Number of ID Periods (without accounting for terminations)</t>
  </si>
  <si>
    <t>Period Length</t>
  </si>
  <si>
    <t>Peak Vertical field</t>
  </si>
  <si>
    <t>Peak Horizontal field</t>
  </si>
  <si>
    <t>T</t>
  </si>
  <si>
    <t>Initial Phase of the Horizontal field component</t>
  </si>
  <si>
    <t>Initial Phase of the Vertical field component</t>
  </si>
  <si>
    <t>Symmetry of the Horizontal field component vs Longitudinal position</t>
  </si>
  <si>
    <t>Symmetry of the Vertical field component vs Longitudinal position</t>
  </si>
  <si>
    <t xml:space="preserve">Horizontal Coordinate of Undulator Center </t>
  </si>
  <si>
    <t xml:space="preserve">Vertical Coordinate of Undulator Center </t>
  </si>
  <si>
    <t xml:space="preserve">Longitudinal Coordinate of Undulator Center </t>
  </si>
  <si>
    <t>numPer</t>
  </si>
  <si>
    <t>undPer</t>
  </si>
  <si>
    <t>Bx</t>
  </si>
  <si>
    <t>By</t>
  </si>
  <si>
    <t>phBx</t>
  </si>
  <si>
    <t>phBy</t>
  </si>
  <si>
    <t>sBx</t>
  </si>
  <si>
    <t>sBy</t>
  </si>
  <si>
    <t>xcID</t>
  </si>
  <si>
    <t>ycID</t>
  </si>
  <si>
    <t>zcID</t>
  </si>
  <si>
    <t>Average Current</t>
  </si>
  <si>
    <t>Initial Longitudinal Coordinate (set before the ID)</t>
  </si>
  <si>
    <t>Initial Horizontal Coordinate</t>
  </si>
  <si>
    <t>Initial Vertical Coordinate</t>
  </si>
  <si>
    <t>Initial Relative Horizontal Velocity</t>
  </si>
  <si>
    <t>Initial Relative Vertical Velocity</t>
  </si>
  <si>
    <t>Relative Energy</t>
  </si>
  <si>
    <t>A</t>
  </si>
  <si>
    <t>elecBeam.Iavg</t>
  </si>
  <si>
    <t>elecBeam.partStatMom1.x</t>
  </si>
  <si>
    <t>elecBeam.partStatMom1.y</t>
  </si>
  <si>
    <t>elecBeam.partStatMom1.z</t>
  </si>
  <si>
    <t>elecBeam.partStatMom1.xp</t>
  </si>
  <si>
    <t>elecBeam.partStatMom1.yp</t>
  </si>
  <si>
    <t>elecBeam.partStatMom1.gamma</t>
  </si>
  <si>
    <t>meth</t>
  </si>
  <si>
    <t>relPrec</t>
  </si>
  <si>
    <t>zStartInteg</t>
  </si>
  <si>
    <t>zEndInteg</t>
  </si>
  <si>
    <t>npTraj</t>
  </si>
  <si>
    <t>useTermin</t>
  </si>
  <si>
    <t>sampFactNxNyForProp</t>
  </si>
  <si>
    <t>SR calculation method: 0- "manual", 1- "auto-undulator", 2- "auto-wiggler"</t>
  </si>
  <si>
    <t>relative precision</t>
  </si>
  <si>
    <t>longitudinal position to start integration (effective if &lt; zEndInteg)</t>
  </si>
  <si>
    <t>longitudinal position to finish integration (effective if &gt; zStartInteg)</t>
  </si>
  <si>
    <t>Number of points for trajectory calculation</t>
  </si>
  <si>
    <t>Use "terminating terms" (i.e. asymptotic expansions at zStartInteg and zEndInteg) or not (1 or 0 respectively)</t>
  </si>
  <si>
    <t>wfr2:  For intensity distribution at fixed photon energy</t>
  </si>
  <si>
    <t>wfr1:  Numbers of points vs Photon Energy, Horizontal and Vertical Positions</t>
  </si>
  <si>
    <t>Longitudinal Position [m] at which SR has to be calculated</t>
  </si>
  <si>
    <t>initial UR harmonic to take into account</t>
  </si>
  <si>
    <t>final UR harmonic to take into account</t>
  </si>
  <si>
    <t>longitudinal integration precision parameter</t>
  </si>
  <si>
    <t>azimuthal integration precision parameter</t>
  </si>
  <si>
    <t>calculate flux (1) or flux per unit surface (2)</t>
  </si>
  <si>
    <t>precision factor</t>
  </si>
  <si>
    <t>power density computation method (1- "near field", 2- "far field")</t>
  </si>
  <si>
    <t>initial longitudinal position (effective if arPrecP[2] &lt; arPrecP[3])</t>
  </si>
  <si>
    <t>final longitudinal position (effective if arPrecP[2] &lt; arPrecP[3])</t>
  </si>
  <si>
    <t>umber of points for (intermediate) trajectory calculation</t>
  </si>
  <si>
    <t>arPrecF[0]</t>
  </si>
  <si>
    <t>arPrecF[1]</t>
  </si>
  <si>
    <t>arPrecF[2]</t>
  </si>
  <si>
    <t>arPrecF[3]</t>
  </si>
  <si>
    <t>arPrecF[4]</t>
  </si>
  <si>
    <t>for spectral flux vs photon energy</t>
  </si>
  <si>
    <t>for power density</t>
  </si>
  <si>
    <t>arPrecP[0]</t>
  </si>
  <si>
    <t>arPrecP[1]</t>
  </si>
  <si>
    <t>arPrecP[2]</t>
  </si>
  <si>
    <t>arPrecP[3]</t>
  </si>
  <si>
    <t>arPrecP[4]</t>
  </si>
  <si>
    <t>harmonic number</t>
  </si>
  <si>
    <t>magnetic field plane: horzontal ('h') or vertical ('v')</t>
  </si>
  <si>
    <t>magnetic field amplitude [T]</t>
  </si>
  <si>
    <t>period length [m]</t>
  </si>
  <si>
    <t>number of periods (will be rounded to integer)</t>
  </si>
  <si>
    <t>h or v</t>
  </si>
  <si>
    <t>harmB.n</t>
  </si>
  <si>
    <t>harmB.h_or_v</t>
  </si>
  <si>
    <t>harmB.B</t>
  </si>
  <si>
    <t>harmB.per</t>
  </si>
  <si>
    <t>harmB.nper</t>
  </si>
  <si>
    <t>high-K</t>
  </si>
  <si>
    <t>low-K</t>
  </si>
  <si>
    <t>test cases</t>
  </si>
  <si>
    <t>v</t>
  </si>
  <si>
    <t>K</t>
  </si>
  <si>
    <t>Length, m</t>
  </si>
  <si>
    <t>small A</t>
  </si>
  <si>
    <t>large A</t>
  </si>
  <si>
    <t>elecBeam.arStatMom2[0]</t>
  </si>
  <si>
    <t>elecBeam.arStatMom2[1]</t>
  </si>
  <si>
    <t>elecBeam.arStatMom2[2]</t>
  </si>
  <si>
    <t>elecBeam.arStatMom2[3]</t>
  </si>
  <si>
    <t>elecBeam.arStatMom2[4]</t>
  </si>
  <si>
    <t>elecBeam.arStatMom2[5]</t>
  </si>
  <si>
    <t>elecBeam.arStatMom2[10]</t>
  </si>
  <si>
    <t>Correlation x . x'</t>
  </si>
  <si>
    <t>RMS beam size, x</t>
  </si>
  <si>
    <t>RMS divergence, x'</t>
  </si>
  <si>
    <t>RMS energy spread</t>
  </si>
  <si>
    <t>rad</t>
  </si>
  <si>
    <t>RMS beam size, y</t>
  </si>
  <si>
    <t>Correlation y . y'</t>
  </si>
  <si>
    <t>RMS divergence, y'</t>
  </si>
  <si>
    <t>thin beam</t>
  </si>
  <si>
    <t>thick beam</t>
  </si>
  <si>
    <t>Beam</t>
  </si>
  <si>
    <t>Project</t>
  </si>
  <si>
    <t>Type</t>
  </si>
  <si>
    <t>Design</t>
  </si>
  <si>
    <t>Beamport</t>
  </si>
  <si>
    <t>Location</t>
  </si>
  <si>
    <t>Length</t>
  </si>
  <si>
    <t>Period</t>
  </si>
  <si>
    <t>Peak Field</t>
  </si>
  <si>
    <t>Kmax</t>
  </si>
  <si>
    <t>Mag Gap</t>
  </si>
  <si>
    <t>Canting Angle</t>
  </si>
  <si>
    <t>Vac Aper</t>
  </si>
  <si>
    <t>FE Aper</t>
  </si>
  <si>
    <t>Fund.</t>
  </si>
  <si>
    <t>Total Power</t>
  </si>
  <si>
    <t>Line</t>
  </si>
  <si>
    <t>[m]</t>
  </si>
  <si>
    <t>[mm]</t>
  </si>
  <si>
    <t>[T]</t>
  </si>
  <si>
    <t>[mrad] </t>
  </si>
  <si>
    <t>[eV] </t>
  </si>
  <si>
    <t>[kW] </t>
  </si>
  <si>
    <t>NSLS-II</t>
  </si>
  <si>
    <t>PPM</t>
  </si>
  <si>
    <t>Low-βx</t>
  </si>
  <si>
    <t>Hybrid</t>
  </si>
  <si>
    <t>High-βx</t>
  </si>
  <si>
    <t>0.5 x 0.3</t>
  </si>
  <si>
    <t>IVU20</t>
  </si>
  <si>
    <t>CHX</t>
  </si>
  <si>
    <t>11-ID</t>
  </si>
  <si>
    <t>XPD/PDF</t>
  </si>
  <si>
    <t>DW100</t>
  </si>
  <si>
    <t>28-ID</t>
  </si>
  <si>
    <t>6.8 (2×3.4)</t>
  </si>
  <si>
    <t>~16.5</t>
  </si>
  <si>
    <t>1.1 x 0.15</t>
  </si>
  <si>
    <t>Application</t>
  </si>
  <si>
    <t>ID#</t>
  </si>
  <si>
    <r>
      <t>Period 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indexed="8"/>
        <rFont val="Calibri"/>
        <family val="2"/>
      </rPr>
      <t>[mm]</t>
    </r>
  </si>
  <si>
    <t>Bmax [T]</t>
  </si>
  <si>
    <t>Min. Gap [mm]</t>
  </si>
  <si>
    <t>Technology</t>
  </si>
  <si>
    <t>Anomalous Scattering</t>
  </si>
  <si>
    <t>ID1</t>
  </si>
  <si>
    <t>Wiggler</t>
  </si>
  <si>
    <t>HYB</t>
  </si>
  <si>
    <t>Undulator</t>
  </si>
  <si>
    <t>High Brilliance</t>
  </si>
  <si>
    <t>ID2</t>
  </si>
  <si>
    <t>Surface Diffraction</t>
  </si>
  <si>
    <t>ID3</t>
  </si>
  <si>
    <t>Machine Diagnostic</t>
  </si>
  <si>
    <t>ID6</t>
  </si>
  <si>
    <t>Polarization Selectivity</t>
  </si>
  <si>
    <t>ID8</t>
  </si>
  <si>
    <t>Apple II Undulator </t>
  </si>
  <si>
    <t>White Beam Station</t>
  </si>
  <si>
    <t>ID9</t>
  </si>
  <si>
    <t>In Vacuum Undulator</t>
  </si>
  <si>
    <t>Troika</t>
  </si>
  <si>
    <t>ID10</t>
  </si>
  <si>
    <t>Materials Science</t>
  </si>
  <si>
    <t>ID11</t>
  </si>
  <si>
    <t>In-Vacuum Undulator</t>
  </si>
  <si>
    <t>HYB/SmCo</t>
  </si>
  <si>
    <t>Circular Polarisation</t>
  </si>
  <si>
    <t>ID12</t>
  </si>
  <si>
    <t>Helical Undulator</t>
  </si>
  <si>
    <t>EMPHU </t>
  </si>
  <si>
    <t>HYB /SmCo </t>
  </si>
  <si>
    <t>Microfocus</t>
  </si>
  <si>
    <t>ID13</t>
  </si>
  <si>
    <t>In- Vacuum Undulator</t>
  </si>
  <si>
    <t>Macromolecular Crystallography</t>
  </si>
  <si>
    <t>ID14</t>
  </si>
  <si>
    <t>24,4</t>
  </si>
  <si>
    <t>High Energy</t>
  </si>
  <si>
    <t>ID15</t>
  </si>
  <si>
    <t>Asymmetric Wiggler</t>
  </si>
  <si>
    <t>Inelastic Scattering</t>
  </si>
  <si>
    <t>ID16</t>
  </si>
  <si>
    <t>Medical</t>
  </si>
  <si>
    <t>ID17</t>
  </si>
  <si>
    <t>Nuclear Resonance</t>
  </si>
  <si>
    <t>ID18</t>
  </si>
  <si>
    <t>Undulator </t>
  </si>
  <si>
    <t>Revolver undulator</t>
  </si>
  <si>
    <t>32/20</t>
  </si>
  <si>
    <t>0.64/0.34</t>
  </si>
  <si>
    <t>Topography</t>
  </si>
  <si>
    <t>ID19</t>
  </si>
  <si>
    <t>Magnetic Scattering</t>
  </si>
  <si>
    <t>ID20</t>
  </si>
  <si>
    <t>Microscopy</t>
  </si>
  <si>
    <t>ID21</t>
  </si>
  <si>
    <t> Helical Undulator </t>
  </si>
  <si>
    <t>Microfluorescence</t>
  </si>
  <si>
    <t>ID22</t>
  </si>
  <si>
    <t>PPM/SmCo</t>
  </si>
  <si>
    <t>Macromolecular crystallography</t>
  </si>
  <si>
    <t>ID23</t>
  </si>
  <si>
    <t>Dispersive EXAFS</t>
  </si>
  <si>
    <t>ID24</t>
  </si>
  <si>
    <t>XAUS</t>
  </si>
  <si>
    <t>ID26</t>
  </si>
  <si>
    <t>High Pressure</t>
  </si>
  <si>
    <t>ID27</t>
  </si>
  <si>
    <t>Inelastic X-ray scattering</t>
  </si>
  <si>
    <t>ID28</t>
  </si>
  <si>
    <t>Structural Biology</t>
  </si>
  <si>
    <t>ID29</t>
  </si>
  <si>
    <t>ID30</t>
  </si>
  <si>
    <t>Power Diffraction</t>
  </si>
  <si>
    <t>ID31</t>
  </si>
  <si>
    <t>SEXAFS and XSW</t>
  </si>
  <si>
    <t>ID32</t>
  </si>
  <si>
    <t>Device</t>
  </si>
  <si>
    <t>Beamline</t>
  </si>
  <si>
    <t>Energy Range</t>
  </si>
  <si>
    <t>(at 1.9 GeV)</t>
  </si>
  <si>
    <t>No. of Periods</t>
  </si>
  <si>
    <t>Operating Gap Range</t>
  </si>
  <si>
    <t>Effective Field Range</t>
  </si>
  <si>
    <t>U30 Undulator</t>
  </si>
  <si>
    <t>6.0.1</t>
  </si>
  <si>
    <t>120–5000 eV</t>
  </si>
  <si>
    <r>
      <t>4000–11000 eV</t>
    </r>
    <r>
      <rPr>
        <vertAlign val="superscript"/>
        <sz val="10"/>
        <color indexed="63"/>
        <rFont val="Arial"/>
        <family val="2"/>
      </rPr>
      <t>d</t>
    </r>
  </si>
  <si>
    <t>30 mm</t>
  </si>
  <si>
    <t>5.5–27 mm</t>
  </si>
  <si>
    <t>1.5–0.13 T</t>
  </si>
  <si>
    <t>U50 Undulator</t>
  </si>
  <si>
    <t>8.0.1</t>
  </si>
  <si>
    <t>80–3000 eV</t>
  </si>
  <si>
    <t>50 mm</t>
  </si>
  <si>
    <t>14–45 mm</t>
  </si>
  <si>
    <t>0.85–0.10 T</t>
  </si>
  <si>
    <t>U80 Undulator</t>
  </si>
  <si>
    <t>12.0.1</t>
  </si>
  <si>
    <t>20–1900 eV</t>
  </si>
  <si>
    <t>80 mm</t>
  </si>
  <si>
    <t>24.7–83 mm</t>
  </si>
  <si>
    <t>0.80–0.07 T</t>
  </si>
  <si>
    <t>U100 Undulator</t>
  </si>
  <si>
    <t>9.0.1</t>
  </si>
  <si>
    <t>8–1500 eV</t>
  </si>
  <si>
    <t>100 mm</t>
  </si>
  <si>
    <t>22.7–116 mm</t>
  </si>
  <si>
    <t>0.98–0.05 T</t>
  </si>
  <si>
    <t>10.0.1</t>
  </si>
  <si>
    <t>12–1500 eV</t>
  </si>
  <si>
    <t>23.1–116 mm</t>
  </si>
  <si>
    <t>0.80–0.05 T</t>
  </si>
  <si>
    <t>EPU35 Elliptical Polarization Undulator</t>
  </si>
  <si>
    <t>6.0.2</t>
  </si>
  <si>
    <r>
      <t>265–4000 eV</t>
    </r>
    <r>
      <rPr>
        <vertAlign val="superscript"/>
        <sz val="10"/>
        <color indexed="63"/>
        <rFont val="Arial"/>
        <family val="2"/>
      </rPr>
      <t>a</t>
    </r>
  </si>
  <si>
    <t>35 mm</t>
  </si>
  <si>
    <t>12–40 mm</t>
  </si>
  <si>
    <t>0.71–0.06 T</t>
  </si>
  <si>
    <t>EPU50 Elliptical Polarization Undulator</t>
  </si>
  <si>
    <t>4.0.2</t>
  </si>
  <si>
    <r>
      <t>73–3000 eV</t>
    </r>
    <r>
      <rPr>
        <vertAlign val="superscript"/>
        <sz val="10"/>
        <color indexed="63"/>
        <rFont val="Arial"/>
        <family val="2"/>
      </rPr>
      <t>a</t>
    </r>
  </si>
  <si>
    <t>14–55 mm</t>
  </si>
  <si>
    <r>
      <t>0.80–0.10 T</t>
    </r>
    <r>
      <rPr>
        <vertAlign val="superscript"/>
        <sz val="10"/>
        <color indexed="63"/>
        <rFont val="Arial"/>
        <family val="2"/>
      </rPr>
      <t>b</t>
    </r>
  </si>
  <si>
    <r>
      <t>0.58–0.10 T</t>
    </r>
    <r>
      <rPr>
        <vertAlign val="superscript"/>
        <sz val="10"/>
        <color indexed="63"/>
        <rFont val="Arial"/>
        <family val="2"/>
      </rPr>
      <t>c</t>
    </r>
  </si>
  <si>
    <t>11.0.1</t>
  </si>
  <si>
    <r>
      <t>75–3000 eV</t>
    </r>
    <r>
      <rPr>
        <vertAlign val="superscript"/>
        <sz val="10"/>
        <color indexed="63"/>
        <rFont val="Arial"/>
        <family val="2"/>
      </rPr>
      <t>a</t>
    </r>
  </si>
  <si>
    <t>14.3–55 mm</t>
  </si>
  <si>
    <r>
      <t>0.85–0.10 T</t>
    </r>
    <r>
      <rPr>
        <vertAlign val="superscript"/>
        <sz val="10"/>
        <color indexed="63"/>
        <rFont val="Arial"/>
        <family val="2"/>
      </rPr>
      <t>b</t>
    </r>
  </si>
  <si>
    <r>
      <t>0.57–0.10 T</t>
    </r>
    <r>
      <rPr>
        <vertAlign val="superscript"/>
        <sz val="10"/>
        <color indexed="63"/>
        <rFont val="Arial"/>
        <family val="2"/>
      </rPr>
      <t>c</t>
    </r>
  </si>
  <si>
    <t>11.0.2</t>
  </si>
  <si>
    <r>
      <t>71–3000 eV</t>
    </r>
    <r>
      <rPr>
        <vertAlign val="superscript"/>
        <sz val="10"/>
        <color indexed="63"/>
        <rFont val="Arial"/>
        <family val="2"/>
      </rPr>
      <t>a</t>
    </r>
  </si>
  <si>
    <t>13.8–55 mm</t>
  </si>
  <si>
    <r>
      <t>0.86–0.10 T</t>
    </r>
    <r>
      <rPr>
        <vertAlign val="superscript"/>
        <sz val="10"/>
        <color indexed="63"/>
        <rFont val="Arial"/>
        <family val="2"/>
      </rPr>
      <t>b</t>
    </r>
  </si>
  <si>
    <t>EPU70 Elliptical Polarization Undulator</t>
  </si>
  <si>
    <t>7.0.2</t>
  </si>
  <si>
    <r>
      <t>16–2000 eV</t>
    </r>
    <r>
      <rPr>
        <vertAlign val="superscript"/>
        <sz val="10"/>
        <color indexed="63"/>
        <rFont val="Arial"/>
        <family val="2"/>
      </rPr>
      <t>a</t>
    </r>
  </si>
  <si>
    <t>70 mm</t>
  </si>
  <si>
    <t>12.5–75 mm</t>
  </si>
  <si>
    <t>1.18–0.07 T</t>
  </si>
  <si>
    <t>W114 Wiggler</t>
  </si>
  <si>
    <t>5.0.1</t>
  </si>
  <si>
    <t>5.0.2</t>
  </si>
  <si>
    <t>5.0.3</t>
  </si>
  <si>
    <r>
      <t>6–21 keV</t>
    </r>
    <r>
      <rPr>
        <vertAlign val="superscript"/>
        <sz val="10"/>
        <color indexed="63"/>
        <rFont val="Arial"/>
        <family val="2"/>
      </rPr>
      <t>d</t>
    </r>
  </si>
  <si>
    <t>114 mm</t>
  </si>
  <si>
    <t>12.5–180 mm</t>
  </si>
  <si>
    <t>1.94–0.03 T</t>
  </si>
  <si>
    <t>QEPU90</t>
  </si>
  <si>
    <t>4.0.3</t>
  </si>
  <si>
    <r>
      <t>8–1600 eV</t>
    </r>
    <r>
      <rPr>
        <vertAlign val="superscript"/>
        <sz val="10"/>
        <color indexed="63"/>
        <rFont val="Arial"/>
        <family val="2"/>
      </rPr>
      <t>a</t>
    </r>
  </si>
  <si>
    <t>90 mm</t>
  </si>
  <si>
    <t>14.5–99 mm</t>
  </si>
  <si>
    <r>
      <t>1.18–0.06 T</t>
    </r>
    <r>
      <rPr>
        <vertAlign val="superscript"/>
        <sz val="10"/>
        <color indexed="63"/>
        <rFont val="Arial"/>
        <family val="2"/>
      </rPr>
      <t>b</t>
    </r>
  </si>
  <si>
    <r>
      <t>0.78–0.06 T</t>
    </r>
    <r>
      <rPr>
        <vertAlign val="superscript"/>
        <sz val="10"/>
        <color indexed="63"/>
        <rFont val="Arial"/>
        <family val="2"/>
      </rPr>
      <t>c</t>
    </r>
  </si>
  <si>
    <t>Beam particle</t>
  </si>
  <si>
    <t>electron</t>
  </si>
  <si>
    <t>Beam energy</t>
  </si>
  <si>
    <t>1.9 GeV (1.0–1.9 GeV possible)</t>
  </si>
  <si>
    <t>Injection energy</t>
  </si>
  <si>
    <t>Beam current (all operation is in top-off with ΔI/I ≤ 0.3%)</t>
  </si>
  <si>
    <t>500 mA in multibunch mode</t>
  </si>
  <si>
    <t>2 x 17.5 mA in two-bunch mode</t>
  </si>
  <si>
    <t>Filling pattern (multibunch mode)</t>
  </si>
  <si>
    <t>256–320 bunches; possibility of one or two 5- to 6-mA "camshaft" bunches in filling gaps</t>
  </si>
  <si>
    <t>Bunch spacing: multibunch mode</t>
  </si>
  <si>
    <t>2 ns</t>
  </si>
  <si>
    <t>Bunch spacing: two-bunch mode</t>
  </si>
  <si>
    <t>328 ns</t>
  </si>
  <si>
    <t>Circumference</t>
  </si>
  <si>
    <t>196.8 m</t>
  </si>
  <si>
    <t>Number of straight sections</t>
  </si>
  <si>
    <t>Number of insertion devices</t>
  </si>
  <si>
    <t>Radio frequency</t>
  </si>
  <si>
    <t>499.642 MHz (± 6 kHz)</t>
  </si>
  <si>
    <t>Beam size in straight sections, rms (1.9 GeV multibunch mode)</t>
  </si>
  <si>
    <t>Value at 1.9 GeV</t>
  </si>
  <si>
    <t>Top-off injection rate: multibunch mode</t>
  </si>
  <si>
    <t>1–1.5 mA/shot every 25–50 seconds</t>
  </si>
  <si>
    <t>Top-off injection rate: two-bunch mode*</t>
  </si>
  <si>
    <t>0.4–0.5 mA/shot every 25–30 seconds</t>
  </si>
  <si>
    <t>Horizontal emittance</t>
  </si>
  <si>
    <t>2.0 nm-rad</t>
  </si>
  <si>
    <t>Vertical emittance</t>
  </si>
  <si>
    <t>0.04 nm-rad</t>
  </si>
  <si>
    <t>Energy spread (ΔE/E, rms)</t>
  </si>
  <si>
    <r>
      <t>0.95 x 10</t>
    </r>
    <r>
      <rPr>
        <vertAlign val="superscript"/>
        <sz val="10"/>
        <color indexed="63"/>
        <rFont val="Arial"/>
        <family val="2"/>
      </rPr>
      <t>-3†</t>
    </r>
  </si>
  <si>
    <t>Pulse Length (FWHM)</t>
  </si>
  <si>
    <r>
      <t>60 p</t>
    </r>
    <r>
      <rPr>
        <vertAlign val="superscript"/>
        <sz val="10"/>
        <color indexed="63"/>
        <rFont val="Arial"/>
        <family val="2"/>
      </rPr>
      <t>‡</t>
    </r>
  </si>
  <si>
    <t>SR parameters</t>
  </si>
  <si>
    <t>Emittance X</t>
  </si>
  <si>
    <t>Emittance Y</t>
  </si>
  <si>
    <t>m rad</t>
  </si>
  <si>
    <t>beta X</t>
  </si>
  <si>
    <t>low beta</t>
  </si>
  <si>
    <t>beta Y</t>
  </si>
  <si>
    <t>high beta</t>
  </si>
  <si>
    <t xml:space="preserve">Energy </t>
  </si>
  <si>
    <t>GeV</t>
  </si>
  <si>
    <t>Current</t>
  </si>
  <si>
    <t>Energy spread</t>
  </si>
  <si>
    <t>for key in RbClass.__dict__:</t>
  </si>
  <si>
    <t xml:space="preserve">    print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</si>
</sst>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vertAlign val="superscript"/>
      <sz val="10"/>
      <color indexed="63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555555"/>
      <name val="Arial"/>
      <family val="2"/>
    </font>
    <font>
      <sz val="10"/>
      <color rgb="FF555555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FFFA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FFF9E6"/>
        <bgColor indexed="64"/>
      </patternFill>
    </fill>
  </fills>
  <borders count="7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2">
    <xf numFmtId="0" fontId="0" fillId="0" borderId="0" xfId="0"/>
    <xf numFmtId="0" fontId="0" fillId="0" borderId="1" xfId="0" applyBorder="1"/>
    <xf numFmtId="11" fontId="0" fillId="2" borderId="2" xfId="0" applyNumberFormat="1" applyFill="1" applyBorder="1"/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3" borderId="2" xfId="0" applyFill="1" applyBorder="1"/>
    <xf numFmtId="0" fontId="0" fillId="2" borderId="6" xfId="0" applyFill="1" applyBorder="1" applyAlignment="1">
      <alignment wrapText="1"/>
    </xf>
    <xf numFmtId="0" fontId="5" fillId="3" borderId="6" xfId="0" applyFont="1" applyFill="1" applyBorder="1" applyAlignment="1">
      <alignment wrapText="1"/>
    </xf>
    <xf numFmtId="0" fontId="0" fillId="0" borderId="2" xfId="0" applyBorder="1"/>
    <xf numFmtId="1" fontId="0" fillId="3" borderId="1" xfId="0" applyNumberFormat="1" applyFill="1" applyBorder="1"/>
    <xf numFmtId="0" fontId="0" fillId="2" borderId="7" xfId="0" applyFill="1" applyBorder="1" applyAlignment="1">
      <alignment wrapText="1"/>
    </xf>
    <xf numFmtId="0" fontId="0" fillId="0" borderId="8" xfId="0" applyBorder="1"/>
    <xf numFmtId="1" fontId="0" fillId="3" borderId="8" xfId="0" applyNumberFormat="1" applyFill="1" applyBorder="1"/>
    <xf numFmtId="0" fontId="4" fillId="2" borderId="9" xfId="0" applyFont="1" applyFill="1" applyBorder="1"/>
    <xf numFmtId="0" fontId="4" fillId="0" borderId="10" xfId="0" applyFont="1" applyBorder="1"/>
    <xf numFmtId="0" fontId="4" fillId="2" borderId="11" xfId="0" applyFont="1" applyFill="1" applyBorder="1"/>
    <xf numFmtId="0" fontId="4" fillId="0" borderId="12" xfId="0" applyFont="1" applyBorder="1"/>
    <xf numFmtId="0" fontId="0" fillId="2" borderId="13" xfId="0" applyFill="1" applyBorder="1"/>
    <xf numFmtId="0" fontId="0" fillId="2" borderId="14" xfId="0" applyFill="1" applyBorder="1"/>
    <xf numFmtId="0" fontId="0" fillId="0" borderId="15" xfId="0" applyBorder="1"/>
    <xf numFmtId="0" fontId="0" fillId="2" borderId="16" xfId="0" applyFill="1" applyBorder="1"/>
    <xf numFmtId="0" fontId="0" fillId="0" borderId="17" xfId="0" applyBorder="1"/>
    <xf numFmtId="0" fontId="4" fillId="2" borderId="18" xfId="0" applyFont="1" applyFill="1" applyBorder="1"/>
    <xf numFmtId="0" fontId="4" fillId="0" borderId="11" xfId="0" applyFont="1" applyBorder="1"/>
    <xf numFmtId="0" fontId="0" fillId="2" borderId="17" xfId="0" applyNumberFormat="1" applyFill="1" applyBorder="1"/>
    <xf numFmtId="0" fontId="0" fillId="2" borderId="2" xfId="0" applyNumberFormat="1" applyFill="1" applyBorder="1"/>
    <xf numFmtId="0" fontId="0" fillId="2" borderId="15" xfId="0" applyNumberFormat="1" applyFill="1" applyBorder="1"/>
    <xf numFmtId="0" fontId="0" fillId="2" borderId="16" xfId="0" applyFill="1" applyBorder="1" applyAlignment="1">
      <alignment wrapText="1"/>
    </xf>
    <xf numFmtId="0" fontId="0" fillId="2" borderId="13" xfId="0" applyFill="1" applyBorder="1" applyAlignment="1">
      <alignment wrapText="1"/>
    </xf>
    <xf numFmtId="0" fontId="0" fillId="2" borderId="14" xfId="0" applyFill="1" applyBorder="1" applyAlignment="1">
      <alignment wrapText="1"/>
    </xf>
    <xf numFmtId="0" fontId="4" fillId="4" borderId="11" xfId="0" applyFont="1" applyFill="1" applyBorder="1"/>
    <xf numFmtId="11" fontId="0" fillId="2" borderId="19" xfId="0" applyNumberFormat="1" applyFill="1" applyBorder="1"/>
    <xf numFmtId="0" fontId="0" fillId="2" borderId="20" xfId="0" applyFill="1" applyBorder="1" applyAlignment="1">
      <alignment wrapText="1"/>
    </xf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 applyAlignment="1">
      <alignment wrapText="1"/>
    </xf>
    <xf numFmtId="0" fontId="4" fillId="2" borderId="24" xfId="0" applyFont="1" applyFill="1" applyBorder="1"/>
    <xf numFmtId="0" fontId="4" fillId="4" borderId="25" xfId="0" applyFont="1" applyFill="1" applyBorder="1"/>
    <xf numFmtId="0" fontId="4" fillId="0" borderId="26" xfId="0" applyFont="1" applyBorder="1"/>
    <xf numFmtId="0" fontId="0" fillId="0" borderId="27" xfId="0" applyBorder="1"/>
    <xf numFmtId="0" fontId="0" fillId="0" borderId="28" xfId="0" applyBorder="1" applyAlignment="1">
      <alignment wrapText="1"/>
    </xf>
    <xf numFmtId="0" fontId="4" fillId="0" borderId="29" xfId="0" applyFont="1" applyBorder="1"/>
    <xf numFmtId="0" fontId="4" fillId="0" borderId="30" xfId="0" applyFont="1" applyBorder="1"/>
    <xf numFmtId="0" fontId="0" fillId="4" borderId="20" xfId="0" applyFill="1" applyBorder="1"/>
    <xf numFmtId="0" fontId="0" fillId="4" borderId="22" xfId="0" applyFill="1" applyBorder="1"/>
    <xf numFmtId="0" fontId="0" fillId="4" borderId="13" xfId="0" applyFill="1" applyBorder="1"/>
    <xf numFmtId="0" fontId="0" fillId="4" borderId="4" xfId="0" applyFill="1" applyBorder="1"/>
    <xf numFmtId="0" fontId="0" fillId="4" borderId="14" xfId="0" applyFill="1" applyBorder="1"/>
    <xf numFmtId="0" fontId="0" fillId="4" borderId="5" xfId="0" applyFill="1" applyBorder="1"/>
    <xf numFmtId="0" fontId="0" fillId="4" borderId="31" xfId="0" applyFill="1" applyBorder="1"/>
    <xf numFmtId="0" fontId="0" fillId="4" borderId="32" xfId="0" applyFill="1" applyBorder="1"/>
    <xf numFmtId="0" fontId="0" fillId="0" borderId="13" xfId="0" applyBorder="1"/>
    <xf numFmtId="0" fontId="0" fillId="0" borderId="4" xfId="0" applyBorder="1"/>
    <xf numFmtId="0" fontId="0" fillId="0" borderId="14" xfId="0" applyBorder="1"/>
    <xf numFmtId="0" fontId="0" fillId="0" borderId="5" xfId="0" applyBorder="1"/>
    <xf numFmtId="0" fontId="4" fillId="0" borderId="33" xfId="0" applyFont="1" applyBorder="1"/>
    <xf numFmtId="0" fontId="0" fillId="0" borderId="20" xfId="0" applyBorder="1"/>
    <xf numFmtId="0" fontId="0" fillId="0" borderId="22" xfId="0" applyBorder="1"/>
    <xf numFmtId="11" fontId="0" fillId="4" borderId="13" xfId="0" applyNumberFormat="1" applyFill="1" applyBorder="1"/>
    <xf numFmtId="11" fontId="0" fillId="4" borderId="4" xfId="0" applyNumberFormat="1" applyFill="1" applyBorder="1"/>
    <xf numFmtId="11" fontId="0" fillId="4" borderId="14" xfId="0" applyNumberFormat="1" applyFill="1" applyBorder="1"/>
    <xf numFmtId="11" fontId="0" fillId="4" borderId="5" xfId="0" applyNumberFormat="1" applyFill="1" applyBorder="1"/>
    <xf numFmtId="0" fontId="0" fillId="0" borderId="16" xfId="0" applyBorder="1"/>
    <xf numFmtId="0" fontId="0" fillId="0" borderId="3" xfId="0" applyBorder="1"/>
    <xf numFmtId="0" fontId="0" fillId="0" borderId="18" xfId="0" applyBorder="1"/>
    <xf numFmtId="0" fontId="0" fillId="0" borderId="12" xfId="0" applyBorder="1"/>
    <xf numFmtId="0" fontId="4" fillId="0" borderId="18" xfId="0" applyFont="1" applyBorder="1"/>
    <xf numFmtId="0" fontId="0" fillId="2" borderId="31" xfId="0" applyFill="1" applyBorder="1"/>
    <xf numFmtId="0" fontId="0" fillId="0" borderId="34" xfId="0" applyBorder="1"/>
    <xf numFmtId="0" fontId="0" fillId="2" borderId="34" xfId="0" applyNumberFormat="1" applyFill="1" applyBorder="1"/>
    <xf numFmtId="0" fontId="0" fillId="2" borderId="35" xfId="0" applyFill="1" applyBorder="1"/>
    <xf numFmtId="0" fontId="0" fillId="0" borderId="36" xfId="0" applyBorder="1"/>
    <xf numFmtId="0" fontId="0" fillId="2" borderId="36" xfId="0" applyNumberFormat="1" applyFill="1" applyBorder="1"/>
    <xf numFmtId="0" fontId="4" fillId="0" borderId="37" xfId="0" applyFont="1" applyBorder="1"/>
    <xf numFmtId="0" fontId="0" fillId="0" borderId="38" xfId="0" applyBorder="1" applyAlignment="1">
      <alignment wrapText="1"/>
    </xf>
    <xf numFmtId="0" fontId="0" fillId="0" borderId="39" xfId="0" applyBorder="1" applyAlignment="1">
      <alignment wrapText="1"/>
    </xf>
    <xf numFmtId="0" fontId="0" fillId="0" borderId="40" xfId="0" applyBorder="1" applyAlignment="1">
      <alignment wrapText="1"/>
    </xf>
    <xf numFmtId="0" fontId="0" fillId="4" borderId="4" xfId="0" applyNumberFormat="1" applyFill="1" applyBorder="1"/>
    <xf numFmtId="0" fontId="0" fillId="4" borderId="6" xfId="0" applyFill="1" applyBorder="1"/>
    <xf numFmtId="0" fontId="4" fillId="4" borderId="41" xfId="0" applyFont="1" applyFill="1" applyBorder="1"/>
    <xf numFmtId="0" fontId="4" fillId="4" borderId="9" xfId="0" applyFont="1" applyFill="1" applyBorder="1"/>
    <xf numFmtId="0" fontId="0" fillId="0" borderId="42" xfId="0" applyBorder="1"/>
    <xf numFmtId="0" fontId="0" fillId="0" borderId="30" xfId="0" applyBorder="1"/>
    <xf numFmtId="0" fontId="0" fillId="0" borderId="43" xfId="0" applyBorder="1"/>
    <xf numFmtId="0" fontId="0" fillId="0" borderId="6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53" xfId="0" applyBorder="1" applyAlignment="1">
      <alignment vertical="center" wrapText="1"/>
    </xf>
    <xf numFmtId="0" fontId="4" fillId="0" borderId="53" xfId="0" applyFont="1" applyBorder="1" applyAlignment="1">
      <alignment vertical="center" wrapText="1"/>
    </xf>
    <xf numFmtId="0" fontId="0" fillId="5" borderId="53" xfId="0" applyFill="1" applyBorder="1" applyAlignment="1">
      <alignment vertical="center" wrapText="1"/>
    </xf>
    <xf numFmtId="0" fontId="0" fillId="6" borderId="53" xfId="0" applyFill="1" applyBorder="1" applyAlignment="1">
      <alignment vertical="center" wrapText="1"/>
    </xf>
    <xf numFmtId="0" fontId="6" fillId="5" borderId="54" xfId="0" applyFont="1" applyFill="1" applyBorder="1" applyAlignment="1">
      <alignment horizontal="center" vertical="top" wrapText="1"/>
    </xf>
    <xf numFmtId="0" fontId="7" fillId="5" borderId="55" xfId="0" applyFont="1" applyFill="1" applyBorder="1" applyAlignment="1">
      <alignment horizontal="center" vertical="top" wrapText="1"/>
    </xf>
    <xf numFmtId="0" fontId="7" fillId="5" borderId="55" xfId="0" applyFont="1" applyFill="1" applyBorder="1" applyAlignment="1">
      <alignment horizontal="center" vertical="center" wrapText="1"/>
    </xf>
    <xf numFmtId="0" fontId="7" fillId="5" borderId="54" xfId="0" applyFont="1" applyFill="1" applyBorder="1" applyAlignment="1">
      <alignment horizontal="center" vertical="center" wrapText="1"/>
    </xf>
    <xf numFmtId="0" fontId="7" fillId="5" borderId="56" xfId="0" applyFont="1" applyFill="1" applyBorder="1" applyAlignment="1">
      <alignment horizontal="center" vertical="top" wrapText="1"/>
    </xf>
    <xf numFmtId="0" fontId="7" fillId="5" borderId="56" xfId="0" applyFont="1" applyFill="1" applyBorder="1" applyAlignment="1">
      <alignment horizontal="center" vertical="center" wrapText="1"/>
    </xf>
    <xf numFmtId="0" fontId="7" fillId="5" borderId="57" xfId="0" applyFont="1" applyFill="1" applyBorder="1" applyAlignment="1">
      <alignment horizontal="center" vertical="top" wrapText="1"/>
    </xf>
    <xf numFmtId="0" fontId="7" fillId="5" borderId="54" xfId="0" applyFont="1" applyFill="1" applyBorder="1" applyAlignment="1">
      <alignment horizontal="center" vertical="top" wrapText="1"/>
    </xf>
    <xf numFmtId="0" fontId="6" fillId="5" borderId="58" xfId="0" applyFont="1" applyFill="1" applyBorder="1" applyAlignment="1">
      <alignment horizontal="center" vertical="top" wrapText="1"/>
    </xf>
    <xf numFmtId="0" fontId="7" fillId="5" borderId="59" xfId="0" applyFont="1" applyFill="1" applyBorder="1" applyAlignment="1">
      <alignment vertical="top" wrapText="1"/>
    </xf>
    <xf numFmtId="0" fontId="7" fillId="5" borderId="60" xfId="0" applyFont="1" applyFill="1" applyBorder="1" applyAlignment="1">
      <alignment horizontal="center" vertical="top" wrapText="1"/>
    </xf>
    <xf numFmtId="0" fontId="7" fillId="5" borderId="61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63" xfId="0" applyFont="1" applyFill="1" applyBorder="1" applyAlignment="1">
      <alignment horizontal="center" vertical="center" wrapText="1"/>
    </xf>
    <xf numFmtId="0" fontId="8" fillId="7" borderId="64" xfId="0" applyFont="1" applyFill="1" applyBorder="1" applyAlignment="1">
      <alignment horizontal="center" vertical="center" wrapText="1"/>
    </xf>
    <xf numFmtId="0" fontId="8" fillId="7" borderId="65" xfId="0" applyFont="1" applyFill="1" applyBorder="1" applyAlignment="1">
      <alignment horizontal="center" vertical="center" wrapText="1"/>
    </xf>
    <xf numFmtId="0" fontId="7" fillId="5" borderId="60" xfId="0" applyFont="1" applyFill="1" applyBorder="1" applyAlignment="1">
      <alignment vertical="top" wrapText="1"/>
    </xf>
    <xf numFmtId="0" fontId="7" fillId="5" borderId="61" xfId="0" applyFont="1" applyFill="1" applyBorder="1" applyAlignment="1">
      <alignment vertical="top" wrapText="1"/>
    </xf>
    <xf numFmtId="0" fontId="7" fillId="5" borderId="62" xfId="0" applyFont="1" applyFill="1" applyBorder="1" applyAlignment="1">
      <alignment vertical="top" wrapText="1"/>
    </xf>
    <xf numFmtId="0" fontId="7" fillId="5" borderId="59" xfId="0" applyFont="1" applyFill="1" applyBorder="1" applyAlignment="1">
      <alignment vertical="center" wrapText="1"/>
    </xf>
    <xf numFmtId="0" fontId="7" fillId="5" borderId="66" xfId="0" applyFont="1" applyFill="1" applyBorder="1" applyAlignment="1">
      <alignment vertical="top" wrapText="1"/>
    </xf>
    <xf numFmtId="0" fontId="0" fillId="5" borderId="67" xfId="0" applyFill="1" applyBorder="1"/>
    <xf numFmtId="0" fontId="7" fillId="5" borderId="68" xfId="0" applyFont="1" applyFill="1" applyBorder="1" applyAlignment="1">
      <alignment vertical="top" wrapText="1"/>
    </xf>
    <xf numFmtId="11" fontId="0" fillId="0" borderId="2" xfId="0" applyNumberFormat="1" applyBorder="1"/>
    <xf numFmtId="0" fontId="0" fillId="0" borderId="11" xfId="0" applyBorder="1"/>
    <xf numFmtId="0" fontId="0" fillId="2" borderId="0" xfId="0" applyFill="1" applyBorder="1"/>
    <xf numFmtId="0" fontId="0" fillId="0" borderId="42" xfId="0" applyBorder="1" applyAlignment="1">
      <alignment horizontal="center" vertical="center" textRotation="180"/>
    </xf>
    <xf numFmtId="0" fontId="0" fillId="0" borderId="47" xfId="0" applyBorder="1" applyAlignment="1">
      <alignment horizontal="center" vertical="center" textRotation="180"/>
    </xf>
    <xf numFmtId="0" fontId="0" fillId="0" borderId="48" xfId="0" applyBorder="1" applyAlignment="1">
      <alignment horizontal="center" vertical="center" textRotation="180"/>
    </xf>
    <xf numFmtId="0" fontId="0" fillId="0" borderId="4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50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9" xfId="0" applyBorder="1" applyAlignment="1">
      <alignment horizontal="center" vertical="center" textRotation="180"/>
    </xf>
    <xf numFmtId="0" fontId="0" fillId="0" borderId="43" xfId="0" applyBorder="1" applyAlignment="1">
      <alignment horizontal="center" vertical="center" textRotation="180"/>
    </xf>
    <xf numFmtId="0" fontId="9" fillId="0" borderId="42" xfId="0" applyFont="1" applyBorder="1" applyAlignment="1">
      <alignment textRotation="133"/>
    </xf>
    <xf numFmtId="0" fontId="9" fillId="0" borderId="43" xfId="0" applyFont="1" applyBorder="1" applyAlignment="1">
      <alignment textRotation="133"/>
    </xf>
    <xf numFmtId="0" fontId="6" fillId="5" borderId="75" xfId="0" applyFont="1" applyFill="1" applyBorder="1" applyAlignment="1">
      <alignment vertical="top" wrapText="1"/>
    </xf>
    <xf numFmtId="0" fontId="6" fillId="5" borderId="70" xfId="0" applyFont="1" applyFill="1" applyBorder="1" applyAlignment="1">
      <alignment vertical="top" wrapText="1"/>
    </xf>
    <xf numFmtId="0" fontId="6" fillId="5" borderId="58" xfId="0" applyFont="1" applyFill="1" applyBorder="1" applyAlignment="1">
      <alignment horizontal="center" vertical="top" wrapText="1"/>
    </xf>
    <xf numFmtId="0" fontId="6" fillId="5" borderId="54" xfId="0" applyFont="1" applyFill="1" applyBorder="1" applyAlignment="1">
      <alignment horizontal="center" vertical="top" wrapText="1"/>
    </xf>
    <xf numFmtId="0" fontId="6" fillId="5" borderId="76" xfId="0" applyFont="1" applyFill="1" applyBorder="1" applyAlignment="1">
      <alignment horizontal="center" vertical="top" wrapText="1"/>
    </xf>
    <xf numFmtId="0" fontId="6" fillId="5" borderId="62" xfId="0" applyFont="1" applyFill="1" applyBorder="1" applyAlignment="1">
      <alignment horizontal="center" vertical="top" wrapText="1"/>
    </xf>
    <xf numFmtId="0" fontId="7" fillId="5" borderId="69" xfId="0" applyFont="1" applyFill="1" applyBorder="1" applyAlignment="1">
      <alignment vertical="top" wrapText="1"/>
    </xf>
    <xf numFmtId="0" fontId="7" fillId="5" borderId="70" xfId="0" applyFont="1" applyFill="1" applyBorder="1" applyAlignment="1">
      <alignment vertical="top" wrapText="1"/>
    </xf>
    <xf numFmtId="0" fontId="7" fillId="5" borderId="55" xfId="0" applyFont="1" applyFill="1" applyBorder="1" applyAlignment="1">
      <alignment horizontal="center" vertical="top" wrapText="1"/>
    </xf>
    <xf numFmtId="0" fontId="7" fillId="5" borderId="54" xfId="0" applyFont="1" applyFill="1" applyBorder="1" applyAlignment="1">
      <alignment horizontal="center" vertical="top" wrapText="1"/>
    </xf>
    <xf numFmtId="0" fontId="7" fillId="5" borderId="61" xfId="0" applyFont="1" applyFill="1" applyBorder="1" applyAlignment="1">
      <alignment horizontal="center" vertical="top" wrapText="1"/>
    </xf>
    <xf numFmtId="0" fontId="7" fillId="5" borderId="62" xfId="0" applyFont="1" applyFill="1" applyBorder="1" applyAlignment="1">
      <alignment horizontal="center" vertical="top" wrapText="1"/>
    </xf>
    <xf numFmtId="0" fontId="7" fillId="5" borderId="55" xfId="0" applyFont="1" applyFill="1" applyBorder="1" applyAlignment="1">
      <alignment horizontal="center" vertical="center" wrapText="1"/>
    </xf>
    <xf numFmtId="0" fontId="7" fillId="5" borderId="54" xfId="0" applyFont="1" applyFill="1" applyBorder="1" applyAlignment="1">
      <alignment horizontal="center" vertical="center" wrapText="1"/>
    </xf>
    <xf numFmtId="0" fontId="7" fillId="5" borderId="57" xfId="0" applyFont="1" applyFill="1" applyBorder="1" applyAlignment="1">
      <alignment horizontal="center" vertical="top" wrapText="1"/>
    </xf>
    <xf numFmtId="0" fontId="7" fillId="5" borderId="74" xfId="0" applyFont="1" applyFill="1" applyBorder="1" applyAlignment="1">
      <alignment horizontal="center" vertical="top" wrapText="1"/>
    </xf>
    <xf numFmtId="0" fontId="7" fillId="5" borderId="71" xfId="0" applyFont="1" applyFill="1" applyBorder="1" applyAlignment="1">
      <alignment vertical="top" wrapText="1"/>
    </xf>
    <xf numFmtId="0" fontId="7" fillId="5" borderId="72" xfId="0" applyFont="1" applyFill="1" applyBorder="1" applyAlignment="1">
      <alignment horizontal="center" vertical="top" wrapText="1"/>
    </xf>
    <xf numFmtId="0" fontId="7" fillId="5" borderId="72" xfId="0" applyFont="1" applyFill="1" applyBorder="1" applyAlignment="1">
      <alignment horizontal="center" vertical="center" wrapText="1"/>
    </xf>
    <xf numFmtId="0" fontId="7" fillId="5" borderId="73" xfId="0" applyFont="1" applyFill="1" applyBorder="1" applyAlignment="1">
      <alignment vertical="top" wrapText="1"/>
    </xf>
    <xf numFmtId="0" fontId="7" fillId="5" borderId="57" xfId="0" applyFont="1" applyFill="1" applyBorder="1" applyAlignment="1">
      <alignment horizontal="center" vertical="center" wrapText="1"/>
    </xf>
    <xf numFmtId="0" fontId="0" fillId="8" borderId="77" xfId="0" applyFill="1" applyBorder="1" applyAlignment="1">
      <alignment vertical="center" wrapText="1"/>
    </xf>
    <xf numFmtId="0" fontId="0" fillId="8" borderId="78" xfId="0" applyFill="1" applyBorder="1" applyAlignment="1">
      <alignment vertical="center" wrapText="1"/>
    </xf>
    <xf numFmtId="0" fontId="3" fillId="8" borderId="77" xfId="1" applyFill="1" applyBorder="1" applyAlignment="1">
      <alignment vertical="center" wrapText="1"/>
    </xf>
    <xf numFmtId="0" fontId="3" fillId="8" borderId="78" xfId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114300</xdr:rowOff>
    </xdr:from>
    <xdr:to>
      <xdr:col>9</xdr:col>
      <xdr:colOff>457200</xdr:colOff>
      <xdr:row>38</xdr:row>
      <xdr:rowOff>0</xdr:rowOff>
    </xdr:to>
    <xdr:pic>
      <xdr:nvPicPr>
        <xdr:cNvPr id="1643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14300"/>
          <a:ext cx="5743575" cy="7124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zoomScaleNormal="100" workbookViewId="0">
      <selection sqref="A1:D12"/>
    </sheetView>
  </sheetViews>
  <sheetFormatPr defaultRowHeight="15" x14ac:dyDescent="0.25"/>
  <cols>
    <col min="1" max="1" width="62.5703125" customWidth="1"/>
    <col min="4" max="4" width="62.140625" customWidth="1"/>
  </cols>
  <sheetData>
    <row r="1" spans="1:4" ht="15.75" thickBot="1" x14ac:dyDescent="0.3">
      <c r="A1" s="23" t="s">
        <v>0</v>
      </c>
      <c r="B1" s="24" t="s">
        <v>1</v>
      </c>
      <c r="C1" s="16" t="s">
        <v>4</v>
      </c>
      <c r="D1" s="17" t="s">
        <v>5</v>
      </c>
    </row>
    <row r="2" spans="1:4" x14ac:dyDescent="0.25">
      <c r="A2" s="21" t="s">
        <v>16</v>
      </c>
      <c r="B2" s="22"/>
      <c r="C2" s="25">
        <v>40.5</v>
      </c>
      <c r="D2" s="3" t="s">
        <v>28</v>
      </c>
    </row>
    <row r="3" spans="1:4" x14ac:dyDescent="0.25">
      <c r="A3" s="18" t="s">
        <v>17</v>
      </c>
      <c r="B3" s="9" t="s">
        <v>2</v>
      </c>
      <c r="C3" s="26">
        <v>4.9000000000000002E-2</v>
      </c>
      <c r="D3" s="4" t="s">
        <v>29</v>
      </c>
    </row>
    <row r="4" spans="1:4" x14ac:dyDescent="0.25">
      <c r="A4" s="18" t="s">
        <v>18</v>
      </c>
      <c r="B4" s="9" t="s">
        <v>20</v>
      </c>
      <c r="C4" s="26">
        <v>0.56999999999999995</v>
      </c>
      <c r="D4" s="4" t="s">
        <v>30</v>
      </c>
    </row>
    <row r="5" spans="1:4" x14ac:dyDescent="0.25">
      <c r="A5" s="18" t="s">
        <v>19</v>
      </c>
      <c r="B5" s="9" t="s">
        <v>20</v>
      </c>
      <c r="C5" s="26">
        <v>0</v>
      </c>
      <c r="D5" s="4" t="s">
        <v>31</v>
      </c>
    </row>
    <row r="6" spans="1:4" x14ac:dyDescent="0.25">
      <c r="A6" s="18" t="s">
        <v>21</v>
      </c>
      <c r="B6" s="9"/>
      <c r="C6" s="26">
        <v>0</v>
      </c>
      <c r="D6" s="4" t="s">
        <v>32</v>
      </c>
    </row>
    <row r="7" spans="1:4" x14ac:dyDescent="0.25">
      <c r="A7" s="18" t="s">
        <v>22</v>
      </c>
      <c r="B7" s="9"/>
      <c r="C7" s="26">
        <v>0</v>
      </c>
      <c r="D7" s="4" t="s">
        <v>33</v>
      </c>
    </row>
    <row r="8" spans="1:4" x14ac:dyDescent="0.25">
      <c r="A8" s="18" t="s">
        <v>23</v>
      </c>
      <c r="B8" s="9"/>
      <c r="C8" s="26">
        <v>-1</v>
      </c>
      <c r="D8" s="4" t="s">
        <v>34</v>
      </c>
    </row>
    <row r="9" spans="1:4" x14ac:dyDescent="0.25">
      <c r="A9" s="18" t="s">
        <v>24</v>
      </c>
      <c r="B9" s="9"/>
      <c r="C9" s="26">
        <v>1</v>
      </c>
      <c r="D9" s="4" t="s">
        <v>35</v>
      </c>
    </row>
    <row r="10" spans="1:4" x14ac:dyDescent="0.25">
      <c r="A10" s="18" t="s">
        <v>25</v>
      </c>
      <c r="B10" s="9" t="s">
        <v>2</v>
      </c>
      <c r="C10" s="26">
        <v>0</v>
      </c>
      <c r="D10" s="4" t="s">
        <v>36</v>
      </c>
    </row>
    <row r="11" spans="1:4" x14ac:dyDescent="0.25">
      <c r="A11" s="18" t="s">
        <v>26</v>
      </c>
      <c r="B11" s="9" t="s">
        <v>2</v>
      </c>
      <c r="C11" s="26">
        <v>0</v>
      </c>
      <c r="D11" s="4" t="s">
        <v>37</v>
      </c>
    </row>
    <row r="12" spans="1:4" ht="15.75" thickBot="1" x14ac:dyDescent="0.3">
      <c r="A12" s="19" t="s">
        <v>27</v>
      </c>
      <c r="B12" s="20" t="s">
        <v>2</v>
      </c>
      <c r="C12" s="27">
        <v>0</v>
      </c>
      <c r="D12" s="5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F5" sqref="F5"/>
    </sheetView>
  </sheetViews>
  <sheetFormatPr defaultRowHeight="15" x14ac:dyDescent="0.25"/>
  <cols>
    <col min="1" max="1" width="54.85546875" customWidth="1"/>
    <col min="3" max="3" width="10.42578125" customWidth="1"/>
    <col min="4" max="4" width="17.42578125" customWidth="1"/>
  </cols>
  <sheetData>
    <row r="1" spans="1:7" ht="15.75" thickBot="1" x14ac:dyDescent="0.3">
      <c r="A1" s="23" t="s">
        <v>0</v>
      </c>
      <c r="B1" s="24" t="s">
        <v>1</v>
      </c>
      <c r="C1" s="16" t="s">
        <v>4</v>
      </c>
      <c r="D1" s="17" t="s">
        <v>5</v>
      </c>
      <c r="E1" s="42" t="s">
        <v>104</v>
      </c>
      <c r="F1" s="43" t="s">
        <v>103</v>
      </c>
      <c r="G1" s="119" t="s">
        <v>105</v>
      </c>
    </row>
    <row r="2" spans="1:7" x14ac:dyDescent="0.25">
      <c r="A2" s="18" t="s">
        <v>92</v>
      </c>
      <c r="B2" s="9"/>
      <c r="C2" s="26">
        <v>1</v>
      </c>
      <c r="D2" s="41" t="s">
        <v>98</v>
      </c>
      <c r="E2" s="44">
        <v>1</v>
      </c>
      <c r="F2" s="45">
        <v>1</v>
      </c>
      <c r="G2" s="120"/>
    </row>
    <row r="3" spans="1:7" x14ac:dyDescent="0.25">
      <c r="A3" s="18" t="s">
        <v>93</v>
      </c>
      <c r="B3" s="9"/>
      <c r="C3" s="26" t="s">
        <v>97</v>
      </c>
      <c r="D3" s="41" t="s">
        <v>99</v>
      </c>
      <c r="E3" s="46" t="s">
        <v>106</v>
      </c>
      <c r="F3" s="47" t="s">
        <v>106</v>
      </c>
      <c r="G3" s="120"/>
    </row>
    <row r="4" spans="1:7" x14ac:dyDescent="0.25">
      <c r="A4" s="18" t="s">
        <v>94</v>
      </c>
      <c r="B4" s="9" t="s">
        <v>20</v>
      </c>
      <c r="C4" s="26">
        <v>1</v>
      </c>
      <c r="D4" s="41" t="s">
        <v>100</v>
      </c>
      <c r="E4" s="46">
        <v>0.5</v>
      </c>
      <c r="F4" s="47">
        <v>1.85</v>
      </c>
      <c r="G4" s="120"/>
    </row>
    <row r="5" spans="1:7" x14ac:dyDescent="0.25">
      <c r="A5" s="18" t="s">
        <v>95</v>
      </c>
      <c r="B5" s="9" t="s">
        <v>2</v>
      </c>
      <c r="C5" s="26">
        <v>0.02</v>
      </c>
      <c r="D5" s="41" t="s">
        <v>101</v>
      </c>
      <c r="E5" s="46">
        <v>0.02</v>
      </c>
      <c r="F5" s="47">
        <v>0.1</v>
      </c>
      <c r="G5" s="120"/>
    </row>
    <row r="6" spans="1:7" x14ac:dyDescent="0.25">
      <c r="A6" s="18" t="s">
        <v>96</v>
      </c>
      <c r="B6" s="9"/>
      <c r="C6" s="26">
        <v>150</v>
      </c>
      <c r="D6" s="41" t="s">
        <v>102</v>
      </c>
      <c r="E6" s="50">
        <v>150</v>
      </c>
      <c r="F6" s="51">
        <v>30</v>
      </c>
      <c r="G6" s="120"/>
    </row>
    <row r="7" spans="1:7" x14ac:dyDescent="0.25">
      <c r="E7" s="52">
        <f>E4*E5*100*0.934</f>
        <v>0.93400000000000005</v>
      </c>
      <c r="F7" s="53">
        <f>F4*F5*100*0.934</f>
        <v>17.279000000000003</v>
      </c>
      <c r="G7" s="1" t="s">
        <v>107</v>
      </c>
    </row>
    <row r="8" spans="1:7" ht="15.75" thickBot="1" x14ac:dyDescent="0.3">
      <c r="E8" s="54">
        <f>E6*E5</f>
        <v>3</v>
      </c>
      <c r="F8" s="55">
        <f>F6*F5</f>
        <v>3</v>
      </c>
      <c r="G8" s="1" t="s">
        <v>108</v>
      </c>
    </row>
  </sheetData>
  <mergeCells count="1">
    <mergeCell ref="G1:G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"/>
  <sheetViews>
    <sheetView zoomScaleNormal="100" workbookViewId="0">
      <selection activeCell="D9" sqref="D9"/>
    </sheetView>
  </sheetViews>
  <sheetFormatPr defaultRowHeight="15" x14ac:dyDescent="0.25"/>
  <cols>
    <col min="1" max="1" width="62.5703125" customWidth="1"/>
    <col min="3" max="3" width="12" bestFit="1" customWidth="1"/>
    <col min="4" max="4" width="33" customWidth="1"/>
    <col min="5" max="5" width="10.7109375" customWidth="1"/>
    <col min="6" max="6" width="10.5703125" customWidth="1"/>
  </cols>
  <sheetData>
    <row r="1" spans="1:7" ht="15.75" thickBot="1" x14ac:dyDescent="0.3">
      <c r="A1" s="23" t="s">
        <v>0</v>
      </c>
      <c r="B1" s="24" t="s">
        <v>1</v>
      </c>
      <c r="C1" s="16" t="s">
        <v>4</v>
      </c>
      <c r="D1" s="74" t="s">
        <v>5</v>
      </c>
      <c r="E1" s="81" t="s">
        <v>126</v>
      </c>
      <c r="F1" s="80" t="s">
        <v>127</v>
      </c>
    </row>
    <row r="2" spans="1:7" x14ac:dyDescent="0.25">
      <c r="A2" s="21" t="s">
        <v>39</v>
      </c>
      <c r="B2" s="22" t="s">
        <v>46</v>
      </c>
      <c r="C2" s="25">
        <v>0.5</v>
      </c>
      <c r="D2" s="75" t="s">
        <v>47</v>
      </c>
      <c r="E2" s="44">
        <v>0.5</v>
      </c>
      <c r="F2" s="45">
        <v>0.5</v>
      </c>
      <c r="G2" s="121" t="s">
        <v>105</v>
      </c>
    </row>
    <row r="3" spans="1:7" x14ac:dyDescent="0.25">
      <c r="A3" s="18" t="s">
        <v>41</v>
      </c>
      <c r="B3" s="9" t="s">
        <v>2</v>
      </c>
      <c r="C3" s="26">
        <v>0</v>
      </c>
      <c r="D3" s="41" t="s">
        <v>48</v>
      </c>
      <c r="E3" s="46">
        <v>0</v>
      </c>
      <c r="F3" s="47">
        <v>0</v>
      </c>
      <c r="G3" s="121"/>
    </row>
    <row r="4" spans="1:7" x14ac:dyDescent="0.25">
      <c r="A4" s="18" t="s">
        <v>42</v>
      </c>
      <c r="B4" s="9" t="s">
        <v>2</v>
      </c>
      <c r="C4" s="26">
        <v>0</v>
      </c>
      <c r="D4" s="41" t="s">
        <v>49</v>
      </c>
      <c r="E4" s="46">
        <v>0</v>
      </c>
      <c r="F4" s="47">
        <v>0</v>
      </c>
      <c r="G4" s="121"/>
    </row>
    <row r="5" spans="1:7" x14ac:dyDescent="0.25">
      <c r="A5" s="18" t="s">
        <v>40</v>
      </c>
      <c r="B5" s="9" t="s">
        <v>2</v>
      </c>
      <c r="C5" s="26">
        <v>0</v>
      </c>
      <c r="D5" s="41" t="s">
        <v>50</v>
      </c>
      <c r="E5" s="46">
        <v>0</v>
      </c>
      <c r="F5" s="47">
        <v>0</v>
      </c>
      <c r="G5" s="121"/>
    </row>
    <row r="6" spans="1:7" x14ac:dyDescent="0.25">
      <c r="A6" s="18" t="s">
        <v>43</v>
      </c>
      <c r="B6" s="9"/>
      <c r="C6" s="26">
        <v>0</v>
      </c>
      <c r="D6" s="41" t="s">
        <v>51</v>
      </c>
      <c r="E6" s="46">
        <v>0</v>
      </c>
      <c r="F6" s="47">
        <v>0</v>
      </c>
      <c r="G6" s="121"/>
    </row>
    <row r="7" spans="1:7" x14ac:dyDescent="0.25">
      <c r="A7" s="18" t="s">
        <v>44</v>
      </c>
      <c r="B7" s="9"/>
      <c r="C7" s="26">
        <v>0</v>
      </c>
      <c r="D7" s="41" t="s">
        <v>52</v>
      </c>
      <c r="E7" s="46">
        <v>0</v>
      </c>
      <c r="F7" s="47">
        <v>0</v>
      </c>
      <c r="G7" s="121"/>
    </row>
    <row r="8" spans="1:7" x14ac:dyDescent="0.25">
      <c r="A8" s="68" t="s">
        <v>45</v>
      </c>
      <c r="B8" s="69"/>
      <c r="C8" s="70">
        <f>3/0.00051099890221</f>
        <v>5870.8540997356595</v>
      </c>
      <c r="D8" s="76" t="s">
        <v>53</v>
      </c>
      <c r="E8" s="46">
        <f>C8</f>
        <v>5870.8540997356595</v>
      </c>
      <c r="F8" s="79">
        <f>E8</f>
        <v>5870.8540997356595</v>
      </c>
      <c r="G8" s="121"/>
    </row>
    <row r="9" spans="1:7" x14ac:dyDescent="0.25">
      <c r="A9" s="18" t="s">
        <v>119</v>
      </c>
      <c r="B9" s="9" t="s">
        <v>2</v>
      </c>
      <c r="C9" s="2">
        <f>SQRT(0.000000001*2)</f>
        <v>4.4721359549995795E-5</v>
      </c>
      <c r="D9" s="41" t="s">
        <v>111</v>
      </c>
      <c r="E9" s="46">
        <f>0.0000000001</f>
        <v>1E-10</v>
      </c>
      <c r="F9" s="60">
        <f>SQRT(0.0000001*2)</f>
        <v>4.4721359549995795E-4</v>
      </c>
      <c r="G9" s="121"/>
    </row>
    <row r="10" spans="1:7" x14ac:dyDescent="0.25">
      <c r="A10" s="18" t="s">
        <v>118</v>
      </c>
      <c r="B10" s="9"/>
      <c r="C10" s="26">
        <v>0</v>
      </c>
      <c r="D10" s="41" t="s">
        <v>112</v>
      </c>
      <c r="E10" s="46">
        <v>0</v>
      </c>
      <c r="F10" s="47">
        <v>0</v>
      </c>
      <c r="G10" s="121"/>
    </row>
    <row r="11" spans="1:7" x14ac:dyDescent="0.25">
      <c r="A11" s="18" t="s">
        <v>120</v>
      </c>
      <c r="B11" s="9" t="s">
        <v>122</v>
      </c>
      <c r="C11" s="26">
        <f>SQRT(0.000000001/2)</f>
        <v>2.2360679774997898E-5</v>
      </c>
      <c r="D11" s="41" t="s">
        <v>113</v>
      </c>
      <c r="E11" s="46">
        <f>E9</f>
        <v>1E-10</v>
      </c>
      <c r="F11" s="78">
        <f>SQRT(0.0000001/2)</f>
        <v>2.2360679774997898E-4</v>
      </c>
      <c r="G11" s="121"/>
    </row>
    <row r="12" spans="1:7" x14ac:dyDescent="0.25">
      <c r="A12" s="18" t="s">
        <v>123</v>
      </c>
      <c r="B12" s="9" t="s">
        <v>2</v>
      </c>
      <c r="C12" s="26">
        <f>SQRT(0.000000001*0.05*2)</f>
        <v>1.0000000000000001E-5</v>
      </c>
      <c r="D12" s="41" t="s">
        <v>114</v>
      </c>
      <c r="E12" s="46">
        <f>E11</f>
        <v>1E-10</v>
      </c>
      <c r="F12" s="78">
        <f>SQRT(0.0000001*0.05*2)</f>
        <v>1E-4</v>
      </c>
      <c r="G12" s="121"/>
    </row>
    <row r="13" spans="1:7" x14ac:dyDescent="0.25">
      <c r="A13" s="18" t="s">
        <v>124</v>
      </c>
      <c r="B13" s="9"/>
      <c r="C13" s="26">
        <v>0</v>
      </c>
      <c r="D13" s="41" t="s">
        <v>115</v>
      </c>
      <c r="E13" s="46">
        <v>0</v>
      </c>
      <c r="F13" s="47"/>
      <c r="G13" s="121"/>
    </row>
    <row r="14" spans="1:7" x14ac:dyDescent="0.25">
      <c r="A14" s="18" t="s">
        <v>125</v>
      </c>
      <c r="B14" s="9" t="s">
        <v>122</v>
      </c>
      <c r="C14" s="26">
        <f>SQRT(0.000000001*0.05/2)</f>
        <v>5.0000000000000004E-6</v>
      </c>
      <c r="D14" s="41" t="s">
        <v>116</v>
      </c>
      <c r="E14" s="46">
        <f>E12</f>
        <v>1E-10</v>
      </c>
      <c r="F14" s="78">
        <f>SQRT(0.0000001*0.05/2)</f>
        <v>5.0000000000000002E-5</v>
      </c>
      <c r="G14" s="121"/>
    </row>
    <row r="15" spans="1:7" ht="15.75" thickBot="1" x14ac:dyDescent="0.3">
      <c r="A15" s="71" t="s">
        <v>121</v>
      </c>
      <c r="B15" s="72"/>
      <c r="C15" s="73">
        <v>1E-3</v>
      </c>
      <c r="D15" s="77" t="s">
        <v>117</v>
      </c>
      <c r="E15" s="48">
        <v>0</v>
      </c>
      <c r="F15" s="49">
        <f>0.005</f>
        <v>5.0000000000000001E-3</v>
      </c>
      <c r="G15" s="121"/>
    </row>
    <row r="18" spans="1:1" x14ac:dyDescent="0.25">
      <c r="A18" s="118" t="s">
        <v>370</v>
      </c>
    </row>
    <row r="19" spans="1:1" x14ac:dyDescent="0.25">
      <c r="A19" s="118" t="s">
        <v>371</v>
      </c>
    </row>
  </sheetData>
  <mergeCells count="1">
    <mergeCell ref="G2:G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8"/>
  <sheetViews>
    <sheetView zoomScaleNormal="100" workbookViewId="0">
      <selection activeCell="C8" sqref="A1:C8"/>
    </sheetView>
  </sheetViews>
  <sheetFormatPr defaultRowHeight="15" x14ac:dyDescent="0.25"/>
  <cols>
    <col min="1" max="1" width="62.5703125" customWidth="1"/>
    <col min="3" max="3" width="22.5703125" customWidth="1"/>
  </cols>
  <sheetData>
    <row r="1" spans="1:3" ht="15.75" thickBot="1" x14ac:dyDescent="0.3">
      <c r="A1" s="23" t="s">
        <v>0</v>
      </c>
      <c r="B1" s="31" t="s">
        <v>4</v>
      </c>
      <c r="C1" s="17" t="s">
        <v>5</v>
      </c>
    </row>
    <row r="2" spans="1:3" ht="30" x14ac:dyDescent="0.25">
      <c r="A2" s="28" t="s">
        <v>61</v>
      </c>
      <c r="B2" s="22">
        <v>1</v>
      </c>
      <c r="C2" s="3" t="s">
        <v>54</v>
      </c>
    </row>
    <row r="3" spans="1:3" x14ac:dyDescent="0.25">
      <c r="A3" s="29" t="s">
        <v>62</v>
      </c>
      <c r="B3" s="9">
        <v>0.01</v>
      </c>
      <c r="C3" s="4" t="s">
        <v>55</v>
      </c>
    </row>
    <row r="4" spans="1:3" x14ac:dyDescent="0.25">
      <c r="A4" s="29" t="s">
        <v>63</v>
      </c>
      <c r="B4" s="9">
        <v>0</v>
      </c>
      <c r="C4" s="4" t="s">
        <v>56</v>
      </c>
    </row>
    <row r="5" spans="1:3" x14ac:dyDescent="0.25">
      <c r="A5" s="29" t="s">
        <v>64</v>
      </c>
      <c r="B5" s="9">
        <v>0</v>
      </c>
      <c r="C5" s="4" t="s">
        <v>57</v>
      </c>
    </row>
    <row r="6" spans="1:3" x14ac:dyDescent="0.25">
      <c r="A6" s="29" t="s">
        <v>65</v>
      </c>
      <c r="B6" s="9">
        <v>20000</v>
      </c>
      <c r="C6" s="4" t="s">
        <v>58</v>
      </c>
    </row>
    <row r="7" spans="1:3" ht="30" x14ac:dyDescent="0.25">
      <c r="A7" s="29" t="s">
        <v>66</v>
      </c>
      <c r="B7" s="9">
        <v>1</v>
      </c>
      <c r="C7" s="4" t="s">
        <v>59</v>
      </c>
    </row>
    <row r="8" spans="1:3" ht="15.75" thickBot="1" x14ac:dyDescent="0.3">
      <c r="A8" s="30" t="s">
        <v>15</v>
      </c>
      <c r="B8" s="20">
        <v>0</v>
      </c>
      <c r="C8" s="5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workbookViewId="0">
      <selection activeCell="C12" sqref="A2:C12"/>
    </sheetView>
  </sheetViews>
  <sheetFormatPr defaultRowHeight="15" x14ac:dyDescent="0.25"/>
  <cols>
    <col min="1" max="1" width="64.85546875" customWidth="1"/>
    <col min="2" max="2" width="16.140625" customWidth="1"/>
    <col min="3" max="3" width="19" customWidth="1"/>
    <col min="4" max="4" width="49" customWidth="1"/>
  </cols>
  <sheetData>
    <row r="1" spans="1:4" ht="15.75" thickBot="1" x14ac:dyDescent="0.3">
      <c r="A1" s="37" t="s">
        <v>0</v>
      </c>
      <c r="B1" s="38" t="s">
        <v>4</v>
      </c>
      <c r="C1" s="39" t="s">
        <v>5</v>
      </c>
    </row>
    <row r="2" spans="1:4" ht="15" customHeight="1" x14ac:dyDescent="0.25">
      <c r="A2" s="33" t="s">
        <v>70</v>
      </c>
      <c r="B2" s="34">
        <v>1</v>
      </c>
      <c r="C2" s="35" t="s">
        <v>80</v>
      </c>
      <c r="D2" s="122" t="s">
        <v>85</v>
      </c>
    </row>
    <row r="3" spans="1:4" ht="15.75" customHeight="1" x14ac:dyDescent="0.25">
      <c r="A3" s="29" t="s">
        <v>71</v>
      </c>
      <c r="B3" s="9">
        <v>21</v>
      </c>
      <c r="C3" s="3" t="s">
        <v>81</v>
      </c>
      <c r="D3" s="123"/>
    </row>
    <row r="4" spans="1:4" ht="15.75" customHeight="1" x14ac:dyDescent="0.25">
      <c r="A4" s="29" t="s">
        <v>72</v>
      </c>
      <c r="B4" s="9">
        <v>1.5</v>
      </c>
      <c r="C4" s="3" t="s">
        <v>82</v>
      </c>
      <c r="D4" s="123"/>
    </row>
    <row r="5" spans="1:4" ht="17.25" customHeight="1" x14ac:dyDescent="0.25">
      <c r="A5" s="29" t="s">
        <v>73</v>
      </c>
      <c r="B5" s="9">
        <v>1.5</v>
      </c>
      <c r="C5" s="3" t="s">
        <v>83</v>
      </c>
      <c r="D5" s="123"/>
    </row>
    <row r="6" spans="1:4" ht="14.25" customHeight="1" thickBot="1" x14ac:dyDescent="0.3">
      <c r="A6" s="30" t="s">
        <v>74</v>
      </c>
      <c r="B6" s="20">
        <v>1</v>
      </c>
      <c r="C6" s="36" t="s">
        <v>84</v>
      </c>
      <c r="D6" s="124"/>
    </row>
    <row r="7" spans="1:4" ht="15.75" thickBot="1" x14ac:dyDescent="0.3"/>
    <row r="8" spans="1:4" x14ac:dyDescent="0.25">
      <c r="A8" s="33" t="s">
        <v>75</v>
      </c>
      <c r="B8" s="34">
        <v>1.5</v>
      </c>
      <c r="C8" s="35" t="s">
        <v>87</v>
      </c>
      <c r="D8" s="122" t="s">
        <v>86</v>
      </c>
    </row>
    <row r="9" spans="1:4" x14ac:dyDescent="0.25">
      <c r="A9" s="29" t="s">
        <v>76</v>
      </c>
      <c r="B9" s="9">
        <v>1</v>
      </c>
      <c r="C9" s="3" t="s">
        <v>88</v>
      </c>
      <c r="D9" s="125"/>
    </row>
    <row r="10" spans="1:4" x14ac:dyDescent="0.25">
      <c r="A10" s="29" t="s">
        <v>77</v>
      </c>
      <c r="B10" s="9">
        <v>0</v>
      </c>
      <c r="C10" s="3" t="s">
        <v>89</v>
      </c>
      <c r="D10" s="125"/>
    </row>
    <row r="11" spans="1:4" x14ac:dyDescent="0.25">
      <c r="A11" s="29" t="s">
        <v>78</v>
      </c>
      <c r="B11" s="9">
        <v>0</v>
      </c>
      <c r="C11" s="3" t="s">
        <v>90</v>
      </c>
      <c r="D11" s="125"/>
    </row>
    <row r="12" spans="1:4" ht="15.75" thickBot="1" x14ac:dyDescent="0.3">
      <c r="A12" s="30" t="s">
        <v>79</v>
      </c>
      <c r="B12" s="20">
        <v>10000</v>
      </c>
      <c r="C12" s="36" t="s">
        <v>91</v>
      </c>
      <c r="D12" s="126"/>
    </row>
  </sheetData>
  <mergeCells count="2">
    <mergeCell ref="D2:D6"/>
    <mergeCell ref="D8:D1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"/>
  <sheetViews>
    <sheetView zoomScaleNormal="100" workbookViewId="0">
      <selection activeCell="C11" sqref="A2:C11"/>
    </sheetView>
  </sheetViews>
  <sheetFormatPr defaultRowHeight="15" x14ac:dyDescent="0.25"/>
  <cols>
    <col min="1" max="1" width="53.5703125" customWidth="1"/>
    <col min="4" max="4" width="53.7109375" customWidth="1"/>
  </cols>
  <sheetData>
    <row r="1" spans="1:7" ht="15.75" thickBot="1" x14ac:dyDescent="0.3">
      <c r="A1" s="14" t="s">
        <v>0</v>
      </c>
      <c r="B1" s="15" t="s">
        <v>1</v>
      </c>
      <c r="C1" s="16" t="s">
        <v>4</v>
      </c>
      <c r="D1" s="56" t="s">
        <v>5</v>
      </c>
      <c r="E1" s="67" t="s">
        <v>109</v>
      </c>
      <c r="F1" s="17" t="s">
        <v>110</v>
      </c>
    </row>
    <row r="2" spans="1:7" x14ac:dyDescent="0.25">
      <c r="A2" s="11" t="s">
        <v>6</v>
      </c>
      <c r="B2" s="12"/>
      <c r="C2" s="13">
        <v>1</v>
      </c>
      <c r="D2" s="127" t="s">
        <v>67</v>
      </c>
      <c r="E2" s="63">
        <v>1</v>
      </c>
      <c r="F2" s="64">
        <v>1</v>
      </c>
      <c r="G2" s="119" t="s">
        <v>105</v>
      </c>
    </row>
    <row r="3" spans="1:7" x14ac:dyDescent="0.25">
      <c r="A3" s="7" t="s">
        <v>7</v>
      </c>
      <c r="B3" s="1"/>
      <c r="C3" s="10">
        <v>100</v>
      </c>
      <c r="D3" s="128"/>
      <c r="E3" s="52">
        <v>100</v>
      </c>
      <c r="F3" s="53">
        <v>100</v>
      </c>
      <c r="G3" s="133"/>
    </row>
    <row r="4" spans="1:7" x14ac:dyDescent="0.25">
      <c r="A4" s="7" t="s">
        <v>8</v>
      </c>
      <c r="B4" s="1"/>
      <c r="C4" s="10">
        <v>100</v>
      </c>
      <c r="D4" s="128"/>
      <c r="E4" s="52">
        <v>100</v>
      </c>
      <c r="F4" s="53">
        <v>100</v>
      </c>
      <c r="G4" s="133"/>
    </row>
    <row r="5" spans="1:7" ht="16.5" customHeight="1" x14ac:dyDescent="0.25">
      <c r="A5" s="7" t="s">
        <v>69</v>
      </c>
      <c r="B5" s="1" t="s">
        <v>2</v>
      </c>
      <c r="C5" s="10">
        <v>20</v>
      </c>
      <c r="D5" s="128"/>
      <c r="E5" s="52">
        <v>20</v>
      </c>
      <c r="F5" s="53">
        <v>20</v>
      </c>
      <c r="G5" s="133"/>
    </row>
    <row r="6" spans="1:7" x14ac:dyDescent="0.25">
      <c r="A6" s="8" t="s">
        <v>9</v>
      </c>
      <c r="B6" s="1" t="s">
        <v>3</v>
      </c>
      <c r="C6" s="6">
        <v>2774</v>
      </c>
      <c r="D6" s="128"/>
      <c r="E6" s="52"/>
      <c r="F6" s="53"/>
      <c r="G6" s="133"/>
    </row>
    <row r="7" spans="1:7" x14ac:dyDescent="0.25">
      <c r="A7" s="8" t="s">
        <v>10</v>
      </c>
      <c r="B7" s="1" t="s">
        <v>3</v>
      </c>
      <c r="C7" s="6">
        <v>2774</v>
      </c>
      <c r="D7" s="128"/>
      <c r="E7" s="52"/>
      <c r="F7" s="53"/>
      <c r="G7" s="133"/>
    </row>
    <row r="8" spans="1:7" x14ac:dyDescent="0.25">
      <c r="A8" s="7" t="s">
        <v>11</v>
      </c>
      <c r="B8" s="1" t="s">
        <v>2</v>
      </c>
      <c r="C8" s="2">
        <v>-1E-3</v>
      </c>
      <c r="D8" s="128"/>
      <c r="E8" s="59">
        <v>-1E-4</v>
      </c>
      <c r="F8" s="60">
        <v>-5.0000000000000001E-3</v>
      </c>
      <c r="G8" s="133"/>
    </row>
    <row r="9" spans="1:7" x14ac:dyDescent="0.25">
      <c r="A9" s="7" t="s">
        <v>13</v>
      </c>
      <c r="B9" s="1" t="s">
        <v>2</v>
      </c>
      <c r="C9" s="2">
        <v>1E-3</v>
      </c>
      <c r="D9" s="128"/>
      <c r="E9" s="59">
        <v>1E-4</v>
      </c>
      <c r="F9" s="60">
        <v>5.0000000000000001E-3</v>
      </c>
      <c r="G9" s="133"/>
    </row>
    <row r="10" spans="1:7" x14ac:dyDescent="0.25">
      <c r="A10" s="7" t="s">
        <v>12</v>
      </c>
      <c r="B10" s="1" t="s">
        <v>2</v>
      </c>
      <c r="C10" s="2">
        <v>-1E-3</v>
      </c>
      <c r="D10" s="128"/>
      <c r="E10" s="59">
        <v>-1E-4</v>
      </c>
      <c r="F10" s="60">
        <v>-5.0000000000000001E-3</v>
      </c>
      <c r="G10" s="133"/>
    </row>
    <row r="11" spans="1:7" ht="15.75" thickBot="1" x14ac:dyDescent="0.3">
      <c r="A11" s="7" t="s">
        <v>14</v>
      </c>
      <c r="B11" s="1" t="s">
        <v>2</v>
      </c>
      <c r="C11" s="2">
        <v>1E-3</v>
      </c>
      <c r="D11" s="129"/>
      <c r="E11" s="61">
        <v>1E-4</v>
      </c>
      <c r="F11" s="62">
        <v>5.0000000000000001E-3</v>
      </c>
      <c r="G11" s="134"/>
    </row>
    <row r="12" spans="1:7" ht="15.75" thickBot="1" x14ac:dyDescent="0.3">
      <c r="C12" s="32">
        <v>1.1999999999999999E-6</v>
      </c>
    </row>
    <row r="13" spans="1:7" x14ac:dyDescent="0.25">
      <c r="A13" s="11" t="s">
        <v>6</v>
      </c>
      <c r="B13" s="12"/>
      <c r="C13" s="13">
        <v>10000</v>
      </c>
      <c r="D13" s="130" t="s">
        <v>68</v>
      </c>
      <c r="E13" s="57">
        <v>1</v>
      </c>
      <c r="F13" s="58">
        <v>1</v>
      </c>
      <c r="G13" s="119" t="s">
        <v>105</v>
      </c>
    </row>
    <row r="14" spans="1:7" x14ac:dyDescent="0.25">
      <c r="A14" s="7" t="s">
        <v>7</v>
      </c>
      <c r="B14" s="1"/>
      <c r="C14" s="10">
        <v>1</v>
      </c>
      <c r="D14" s="131"/>
      <c r="E14" s="52">
        <v>100</v>
      </c>
      <c r="F14" s="53">
        <v>100</v>
      </c>
      <c r="G14" s="133"/>
    </row>
    <row r="15" spans="1:7" x14ac:dyDescent="0.25">
      <c r="A15" s="7" t="s">
        <v>8</v>
      </c>
      <c r="B15" s="1"/>
      <c r="C15" s="10">
        <v>1</v>
      </c>
      <c r="D15" s="131"/>
      <c r="E15" s="52">
        <v>100</v>
      </c>
      <c r="F15" s="53">
        <v>100</v>
      </c>
      <c r="G15" s="133"/>
    </row>
    <row r="16" spans="1:7" ht="18" customHeight="1" x14ac:dyDescent="0.25">
      <c r="A16" s="7" t="s">
        <v>69</v>
      </c>
      <c r="B16" s="1" t="s">
        <v>2</v>
      </c>
      <c r="C16" s="10">
        <v>20</v>
      </c>
      <c r="D16" s="131"/>
      <c r="E16" s="52">
        <v>20</v>
      </c>
      <c r="F16" s="53">
        <v>20</v>
      </c>
      <c r="G16" s="133"/>
    </row>
    <row r="17" spans="1:7" x14ac:dyDescent="0.25">
      <c r="A17" s="8" t="s">
        <v>9</v>
      </c>
      <c r="B17" s="1" t="s">
        <v>3</v>
      </c>
      <c r="C17" s="6">
        <v>20</v>
      </c>
      <c r="D17" s="131"/>
      <c r="E17" s="52"/>
      <c r="F17" s="53"/>
      <c r="G17" s="133"/>
    </row>
    <row r="18" spans="1:7" x14ac:dyDescent="0.25">
      <c r="A18" s="8" t="s">
        <v>10</v>
      </c>
      <c r="B18" s="1" t="s">
        <v>3</v>
      </c>
      <c r="C18" s="6">
        <v>3000</v>
      </c>
      <c r="D18" s="131"/>
      <c r="E18" s="52"/>
      <c r="F18" s="53"/>
      <c r="G18" s="133"/>
    </row>
    <row r="19" spans="1:7" x14ac:dyDescent="0.25">
      <c r="A19" s="7" t="s">
        <v>11</v>
      </c>
      <c r="B19" s="1" t="s">
        <v>2</v>
      </c>
      <c r="C19" s="2">
        <f>-C12</f>
        <v>-1.1999999999999999E-6</v>
      </c>
      <c r="D19" s="131"/>
      <c r="E19" s="59">
        <v>-1E-4</v>
      </c>
      <c r="F19" s="60">
        <v>-5.0000000000000001E-3</v>
      </c>
      <c r="G19" s="133"/>
    </row>
    <row r="20" spans="1:7" x14ac:dyDescent="0.25">
      <c r="A20" s="7" t="s">
        <v>13</v>
      </c>
      <c r="B20" s="1" t="s">
        <v>2</v>
      </c>
      <c r="C20" s="2">
        <f>C12</f>
        <v>1.1999999999999999E-6</v>
      </c>
      <c r="D20" s="131"/>
      <c r="E20" s="59">
        <v>1E-4</v>
      </c>
      <c r="F20" s="60">
        <v>5.0000000000000001E-3</v>
      </c>
      <c r="G20" s="133"/>
    </row>
    <row r="21" spans="1:7" x14ac:dyDescent="0.25">
      <c r="A21" s="7" t="s">
        <v>12</v>
      </c>
      <c r="B21" s="1" t="s">
        <v>2</v>
      </c>
      <c r="C21" s="2">
        <f>-C$12</f>
        <v>-1.1999999999999999E-6</v>
      </c>
      <c r="D21" s="131"/>
      <c r="E21" s="59">
        <v>-1E-4</v>
      </c>
      <c r="F21" s="60">
        <v>-5.0000000000000001E-3</v>
      </c>
      <c r="G21" s="133"/>
    </row>
    <row r="22" spans="1:7" ht="15.75" thickBot="1" x14ac:dyDescent="0.3">
      <c r="A22" s="7" t="s">
        <v>14</v>
      </c>
      <c r="B22" s="1" t="s">
        <v>2</v>
      </c>
      <c r="C22" s="2">
        <f>C$12</f>
        <v>1.1999999999999999E-6</v>
      </c>
      <c r="D22" s="132"/>
      <c r="E22" s="61">
        <v>1E-4</v>
      </c>
      <c r="F22" s="62">
        <v>5.0000000000000001E-3</v>
      </c>
      <c r="G22" s="134"/>
    </row>
  </sheetData>
  <mergeCells count="4">
    <mergeCell ref="D2:D11"/>
    <mergeCell ref="D13:D22"/>
    <mergeCell ref="G2:G11"/>
    <mergeCell ref="G13:G2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7"/>
  <sheetViews>
    <sheetView topLeftCell="D2" workbookViewId="0">
      <selection activeCell="D2" sqref="D2"/>
    </sheetView>
  </sheetViews>
  <sheetFormatPr defaultRowHeight="15" x14ac:dyDescent="0.25"/>
  <cols>
    <col min="1" max="1" width="13.140625" customWidth="1"/>
    <col min="5" max="5" width="9.85546875" customWidth="1"/>
    <col min="9" max="9" width="10.42578125" customWidth="1"/>
    <col min="11" max="11" width="9.42578125" customWidth="1"/>
  </cols>
  <sheetData>
    <row r="1" spans="1:18" x14ac:dyDescent="0.25">
      <c r="A1" s="82" t="s">
        <v>128</v>
      </c>
      <c r="B1" s="82" t="s">
        <v>129</v>
      </c>
      <c r="C1" s="82" t="s">
        <v>130</v>
      </c>
      <c r="D1" s="82" t="s">
        <v>131</v>
      </c>
      <c r="E1" s="82" t="s">
        <v>132</v>
      </c>
      <c r="F1" s="82" t="s">
        <v>133</v>
      </c>
      <c r="G1" s="82" t="s">
        <v>134</v>
      </c>
      <c r="H1" s="82" t="s">
        <v>135</v>
      </c>
      <c r="I1" s="82" t="s">
        <v>136</v>
      </c>
      <c r="J1" s="82" t="s">
        <v>137</v>
      </c>
      <c r="K1" s="82" t="s">
        <v>138</v>
      </c>
      <c r="L1" s="82" t="s">
        <v>139</v>
      </c>
      <c r="M1" s="82" t="s">
        <v>140</v>
      </c>
      <c r="N1" s="82" t="s">
        <v>141</v>
      </c>
      <c r="O1" s="82" t="s">
        <v>142</v>
      </c>
      <c r="P1" s="83" t="s">
        <v>143</v>
      </c>
    </row>
    <row r="2" spans="1:18" ht="15.75" thickBot="1" x14ac:dyDescent="0.3">
      <c r="A2" s="84" t="s">
        <v>144</v>
      </c>
      <c r="B2" s="84"/>
      <c r="C2" s="84"/>
      <c r="D2" s="84"/>
      <c r="E2" s="84"/>
      <c r="F2" s="84"/>
      <c r="G2" s="84" t="s">
        <v>145</v>
      </c>
      <c r="H2" s="84" t="s">
        <v>146</v>
      </c>
      <c r="I2" s="84" t="s">
        <v>147</v>
      </c>
      <c r="J2" s="84"/>
      <c r="K2" s="84" t="s">
        <v>146</v>
      </c>
      <c r="L2" s="84" t="s">
        <v>148</v>
      </c>
      <c r="M2" s="84" t="s">
        <v>146</v>
      </c>
      <c r="N2" s="84"/>
      <c r="O2" s="84" t="s">
        <v>149</v>
      </c>
      <c r="P2" s="40" t="s">
        <v>150</v>
      </c>
    </row>
    <row r="3" spans="1:18" x14ac:dyDescent="0.25">
      <c r="A3" s="85" t="s">
        <v>158</v>
      </c>
      <c r="B3" s="85" t="s">
        <v>151</v>
      </c>
      <c r="C3" s="85" t="s">
        <v>157</v>
      </c>
      <c r="D3" s="85" t="s">
        <v>154</v>
      </c>
      <c r="E3" s="85" t="s">
        <v>153</v>
      </c>
      <c r="F3" s="85" t="s">
        <v>159</v>
      </c>
      <c r="G3" s="85">
        <v>3</v>
      </c>
      <c r="H3" s="85">
        <v>20</v>
      </c>
      <c r="I3" s="85">
        <v>1.03</v>
      </c>
      <c r="J3" s="85">
        <v>1.83</v>
      </c>
      <c r="K3" s="85">
        <v>5.2</v>
      </c>
      <c r="L3" s="85">
        <v>0</v>
      </c>
      <c r="M3" s="85">
        <v>5</v>
      </c>
      <c r="N3" s="85" t="s">
        <v>156</v>
      </c>
      <c r="O3" s="85">
        <v>1620</v>
      </c>
      <c r="P3" s="86">
        <v>8</v>
      </c>
      <c r="R3" s="135" t="s">
        <v>151</v>
      </c>
    </row>
    <row r="4" spans="1:18" ht="15.75" thickBot="1" x14ac:dyDescent="0.3">
      <c r="A4" s="87" t="s">
        <v>160</v>
      </c>
      <c r="B4" s="87" t="s">
        <v>151</v>
      </c>
      <c r="C4" s="87" t="s">
        <v>161</v>
      </c>
      <c r="D4" s="87" t="s">
        <v>154</v>
      </c>
      <c r="E4" s="87" t="s">
        <v>155</v>
      </c>
      <c r="F4" s="87" t="s">
        <v>162</v>
      </c>
      <c r="G4" s="87" t="s">
        <v>163</v>
      </c>
      <c r="H4" s="87">
        <v>100</v>
      </c>
      <c r="I4" s="87">
        <v>1.8</v>
      </c>
      <c r="J4" s="87" t="s">
        <v>164</v>
      </c>
      <c r="K4" s="87">
        <v>15</v>
      </c>
      <c r="L4" s="87"/>
      <c r="M4" s="87">
        <v>11.5</v>
      </c>
      <c r="N4" s="87" t="s">
        <v>165</v>
      </c>
      <c r="O4" s="87"/>
      <c r="P4" s="88">
        <v>64.5</v>
      </c>
      <c r="R4" s="136"/>
    </row>
    <row r="6" spans="1:18" ht="15.75" thickBot="1" x14ac:dyDescent="0.3"/>
    <row r="7" spans="1:18" ht="15.75" thickBot="1" x14ac:dyDescent="0.3">
      <c r="A7" s="65" t="s">
        <v>358</v>
      </c>
      <c r="B7" s="117"/>
      <c r="C7" s="117" t="s">
        <v>151</v>
      </c>
      <c r="D7" s="66"/>
    </row>
    <row r="8" spans="1:18" x14ac:dyDescent="0.25">
      <c r="A8" s="63"/>
      <c r="B8" s="22"/>
      <c r="C8" s="22"/>
      <c r="D8" s="64"/>
    </row>
    <row r="9" spans="1:18" x14ac:dyDescent="0.25">
      <c r="A9" s="52" t="s">
        <v>359</v>
      </c>
      <c r="B9" s="9" t="s">
        <v>361</v>
      </c>
      <c r="C9" s="116">
        <v>1.0000000000000001E-9</v>
      </c>
      <c r="D9" s="53"/>
    </row>
    <row r="10" spans="1:18" x14ac:dyDescent="0.25">
      <c r="A10" s="52" t="s">
        <v>360</v>
      </c>
      <c r="B10" s="9" t="s">
        <v>361</v>
      </c>
      <c r="C10" s="116">
        <v>9.9999999999999994E-12</v>
      </c>
      <c r="D10" s="53"/>
    </row>
    <row r="11" spans="1:18" x14ac:dyDescent="0.25">
      <c r="A11" s="52" t="s">
        <v>362</v>
      </c>
      <c r="B11" s="9" t="s">
        <v>2</v>
      </c>
      <c r="C11" s="9">
        <v>1.8</v>
      </c>
      <c r="D11" s="53" t="s">
        <v>363</v>
      </c>
    </row>
    <row r="12" spans="1:18" x14ac:dyDescent="0.25">
      <c r="A12" s="52" t="s">
        <v>364</v>
      </c>
      <c r="B12" s="9" t="s">
        <v>2</v>
      </c>
      <c r="C12" s="9">
        <v>1</v>
      </c>
      <c r="D12" s="53" t="s">
        <v>363</v>
      </c>
    </row>
    <row r="13" spans="1:18" x14ac:dyDescent="0.25">
      <c r="A13" s="52" t="s">
        <v>362</v>
      </c>
      <c r="B13" s="9" t="s">
        <v>2</v>
      </c>
      <c r="C13" s="9">
        <v>22</v>
      </c>
      <c r="D13" s="53" t="s">
        <v>365</v>
      </c>
    </row>
    <row r="14" spans="1:18" x14ac:dyDescent="0.25">
      <c r="A14" s="52" t="s">
        <v>364</v>
      </c>
      <c r="B14" s="9" t="s">
        <v>2</v>
      </c>
      <c r="C14" s="9">
        <v>3</v>
      </c>
      <c r="D14" s="53" t="s">
        <v>365</v>
      </c>
    </row>
    <row r="15" spans="1:18" x14ac:dyDescent="0.25">
      <c r="A15" s="52" t="s">
        <v>366</v>
      </c>
      <c r="B15" s="9" t="s">
        <v>367</v>
      </c>
      <c r="C15" s="9">
        <v>3</v>
      </c>
      <c r="D15" s="53"/>
    </row>
    <row r="16" spans="1:18" x14ac:dyDescent="0.25">
      <c r="A16" s="52" t="s">
        <v>368</v>
      </c>
      <c r="B16" s="9" t="s">
        <v>46</v>
      </c>
      <c r="C16" s="9">
        <v>0.5</v>
      </c>
      <c r="D16" s="53"/>
    </row>
    <row r="17" spans="1:4" ht="15.75" thickBot="1" x14ac:dyDescent="0.3">
      <c r="A17" s="54" t="s">
        <v>369</v>
      </c>
      <c r="B17" s="20"/>
      <c r="C17" s="20">
        <v>8.9999999999999998E-4</v>
      </c>
      <c r="D17" s="55"/>
    </row>
  </sheetData>
  <mergeCells count="1">
    <mergeCell ref="R3:R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19" sqref="L1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2"/>
  <sheetViews>
    <sheetView workbookViewId="0">
      <selection activeCell="J11" sqref="J11"/>
    </sheetView>
  </sheetViews>
  <sheetFormatPr defaultRowHeight="15" x14ac:dyDescent="0.25"/>
  <cols>
    <col min="1" max="1" width="17.28515625" customWidth="1"/>
    <col min="2" max="2" width="14.42578125" customWidth="1"/>
    <col min="3" max="3" width="18" customWidth="1"/>
    <col min="10" max="10" width="21" customWidth="1"/>
    <col min="11" max="11" width="29" customWidth="1"/>
  </cols>
  <sheetData>
    <row r="1" spans="1:11" ht="15.75" thickBot="1" x14ac:dyDescent="0.3">
      <c r="A1" s="137" t="s">
        <v>246</v>
      </c>
      <c r="B1" s="139" t="s">
        <v>247</v>
      </c>
      <c r="C1" s="101" t="s">
        <v>248</v>
      </c>
      <c r="D1" s="139" t="s">
        <v>17</v>
      </c>
      <c r="E1" s="139" t="s">
        <v>250</v>
      </c>
      <c r="F1" s="139" t="s">
        <v>251</v>
      </c>
      <c r="G1" s="141" t="s">
        <v>252</v>
      </c>
    </row>
    <row r="2" spans="1:11" ht="25.5" customHeight="1" x14ac:dyDescent="0.25">
      <c r="A2" s="138"/>
      <c r="B2" s="140"/>
      <c r="C2" s="93" t="s">
        <v>249</v>
      </c>
      <c r="D2" s="140"/>
      <c r="E2" s="140"/>
      <c r="F2" s="140"/>
      <c r="G2" s="142"/>
      <c r="J2" s="107" t="s">
        <v>0</v>
      </c>
      <c r="K2" s="108" t="s">
        <v>4</v>
      </c>
    </row>
    <row r="3" spans="1:11" ht="25.5" customHeight="1" x14ac:dyDescent="0.25">
      <c r="A3" s="143" t="s">
        <v>253</v>
      </c>
      <c r="B3" s="145" t="s">
        <v>254</v>
      </c>
      <c r="C3" s="95" t="s">
        <v>255</v>
      </c>
      <c r="D3" s="145" t="s">
        <v>257</v>
      </c>
      <c r="E3" s="145">
        <v>50</v>
      </c>
      <c r="F3" s="145" t="s">
        <v>258</v>
      </c>
      <c r="G3" s="147" t="s">
        <v>259</v>
      </c>
      <c r="J3" s="102" t="s">
        <v>324</v>
      </c>
      <c r="K3" s="109" t="s">
        <v>325</v>
      </c>
    </row>
    <row r="4" spans="1:11" ht="27" customHeight="1" x14ac:dyDescent="0.25">
      <c r="A4" s="144"/>
      <c r="B4" s="146"/>
      <c r="C4" s="96" t="s">
        <v>256</v>
      </c>
      <c r="D4" s="146"/>
      <c r="E4" s="146"/>
      <c r="F4" s="146"/>
      <c r="G4" s="148"/>
      <c r="J4" s="102" t="s">
        <v>326</v>
      </c>
      <c r="K4" s="109" t="s">
        <v>327</v>
      </c>
    </row>
    <row r="5" spans="1:11" ht="30" customHeight="1" x14ac:dyDescent="0.25">
      <c r="A5" s="102" t="s">
        <v>260</v>
      </c>
      <c r="B5" s="97" t="s">
        <v>261</v>
      </c>
      <c r="C5" s="97" t="s">
        <v>262</v>
      </c>
      <c r="D5" s="97" t="s">
        <v>263</v>
      </c>
      <c r="E5" s="97">
        <v>89</v>
      </c>
      <c r="F5" s="97" t="s">
        <v>264</v>
      </c>
      <c r="G5" s="103" t="s">
        <v>265</v>
      </c>
      <c r="J5" s="102" t="s">
        <v>328</v>
      </c>
      <c r="K5" s="109" t="s">
        <v>327</v>
      </c>
    </row>
    <row r="6" spans="1:11" ht="27.75" customHeight="1" x14ac:dyDescent="0.25">
      <c r="A6" s="102" t="s">
        <v>266</v>
      </c>
      <c r="B6" s="97" t="s">
        <v>267</v>
      </c>
      <c r="C6" s="97" t="s">
        <v>268</v>
      </c>
      <c r="D6" s="97" t="s">
        <v>269</v>
      </c>
      <c r="E6" s="97">
        <v>55</v>
      </c>
      <c r="F6" s="97" t="s">
        <v>270</v>
      </c>
      <c r="G6" s="103" t="s">
        <v>271</v>
      </c>
      <c r="J6" s="143" t="s">
        <v>329</v>
      </c>
      <c r="K6" s="110" t="s">
        <v>330</v>
      </c>
    </row>
    <row r="7" spans="1:11" ht="28.5" customHeight="1" x14ac:dyDescent="0.25">
      <c r="A7" s="102" t="s">
        <v>272</v>
      </c>
      <c r="B7" s="97" t="s">
        <v>273</v>
      </c>
      <c r="C7" s="97" t="s">
        <v>274</v>
      </c>
      <c r="D7" s="97" t="s">
        <v>275</v>
      </c>
      <c r="E7" s="97">
        <v>43</v>
      </c>
      <c r="F7" s="97" t="s">
        <v>276</v>
      </c>
      <c r="G7" s="103" t="s">
        <v>277</v>
      </c>
      <c r="J7" s="144"/>
      <c r="K7" s="111" t="s">
        <v>331</v>
      </c>
    </row>
    <row r="8" spans="1:11" ht="42.75" customHeight="1" x14ac:dyDescent="0.25">
      <c r="A8" s="102" t="s">
        <v>272</v>
      </c>
      <c r="B8" s="97" t="s">
        <v>278</v>
      </c>
      <c r="C8" s="97" t="s">
        <v>279</v>
      </c>
      <c r="D8" s="97" t="s">
        <v>275</v>
      </c>
      <c r="E8" s="97">
        <v>43</v>
      </c>
      <c r="F8" s="97" t="s">
        <v>280</v>
      </c>
      <c r="G8" s="103" t="s">
        <v>281</v>
      </c>
      <c r="J8" s="102" t="s">
        <v>332</v>
      </c>
      <c r="K8" s="109" t="s">
        <v>333</v>
      </c>
    </row>
    <row r="9" spans="1:11" ht="42.75" customHeight="1" x14ac:dyDescent="0.25">
      <c r="A9" s="102" t="s">
        <v>282</v>
      </c>
      <c r="B9" s="97" t="s">
        <v>283</v>
      </c>
      <c r="C9" s="98" t="s">
        <v>284</v>
      </c>
      <c r="D9" s="97" t="s">
        <v>285</v>
      </c>
      <c r="E9" s="97">
        <v>52.5</v>
      </c>
      <c r="F9" s="97" t="s">
        <v>286</v>
      </c>
      <c r="G9" s="103" t="s">
        <v>287</v>
      </c>
      <c r="J9" s="112" t="s">
        <v>334</v>
      </c>
      <c r="K9" s="109" t="s">
        <v>335</v>
      </c>
    </row>
    <row r="10" spans="1:11" ht="36.75" customHeight="1" x14ac:dyDescent="0.25">
      <c r="A10" s="143" t="s">
        <v>288</v>
      </c>
      <c r="B10" s="145" t="s">
        <v>289</v>
      </c>
      <c r="C10" s="149" t="s">
        <v>290</v>
      </c>
      <c r="D10" s="145" t="s">
        <v>263</v>
      </c>
      <c r="E10" s="145">
        <v>37</v>
      </c>
      <c r="F10" s="145" t="s">
        <v>291</v>
      </c>
      <c r="G10" s="104" t="s">
        <v>292</v>
      </c>
      <c r="J10" s="112" t="s">
        <v>336</v>
      </c>
      <c r="K10" s="109" t="s">
        <v>337</v>
      </c>
    </row>
    <row r="11" spans="1:11" ht="25.5" customHeight="1" x14ac:dyDescent="0.25">
      <c r="A11" s="144"/>
      <c r="B11" s="146"/>
      <c r="C11" s="150"/>
      <c r="D11" s="146"/>
      <c r="E11" s="146"/>
      <c r="F11" s="146"/>
      <c r="G11" s="105" t="s">
        <v>293</v>
      </c>
      <c r="J11" s="102" t="s">
        <v>338</v>
      </c>
      <c r="K11" s="109" t="s">
        <v>339</v>
      </c>
    </row>
    <row r="12" spans="1:11" ht="36.75" customHeight="1" x14ac:dyDescent="0.25">
      <c r="A12" s="143" t="s">
        <v>288</v>
      </c>
      <c r="B12" s="145" t="s">
        <v>294</v>
      </c>
      <c r="C12" s="149" t="s">
        <v>295</v>
      </c>
      <c r="D12" s="145" t="s">
        <v>263</v>
      </c>
      <c r="E12" s="145">
        <v>36.5</v>
      </c>
      <c r="F12" s="145" t="s">
        <v>296</v>
      </c>
      <c r="G12" s="104" t="s">
        <v>297</v>
      </c>
      <c r="J12" s="102" t="s">
        <v>340</v>
      </c>
      <c r="K12" s="109">
        <v>12</v>
      </c>
    </row>
    <row r="13" spans="1:11" ht="27" x14ac:dyDescent="0.25">
      <c r="A13" s="144"/>
      <c r="B13" s="146"/>
      <c r="C13" s="150"/>
      <c r="D13" s="146"/>
      <c r="E13" s="146"/>
      <c r="F13" s="146"/>
      <c r="G13" s="105" t="s">
        <v>298</v>
      </c>
      <c r="J13" s="102" t="s">
        <v>341</v>
      </c>
      <c r="K13" s="109">
        <v>12</v>
      </c>
    </row>
    <row r="14" spans="1:11" ht="36.75" customHeight="1" x14ac:dyDescent="0.25">
      <c r="A14" s="143" t="s">
        <v>288</v>
      </c>
      <c r="B14" s="145" t="s">
        <v>299</v>
      </c>
      <c r="C14" s="149" t="s">
        <v>300</v>
      </c>
      <c r="D14" s="145" t="s">
        <v>263</v>
      </c>
      <c r="E14" s="145">
        <v>37</v>
      </c>
      <c r="F14" s="145" t="s">
        <v>301</v>
      </c>
      <c r="G14" s="104" t="s">
        <v>302</v>
      </c>
      <c r="J14" s="102" t="s">
        <v>342</v>
      </c>
      <c r="K14" s="109" t="s">
        <v>343</v>
      </c>
    </row>
    <row r="15" spans="1:11" ht="43.5" customHeight="1" thickBot="1" x14ac:dyDescent="0.3">
      <c r="A15" s="144"/>
      <c r="B15" s="146"/>
      <c r="C15" s="150"/>
      <c r="D15" s="146"/>
      <c r="E15" s="146"/>
      <c r="F15" s="146"/>
      <c r="G15" s="105" t="s">
        <v>293</v>
      </c>
      <c r="J15" s="113" t="s">
        <v>344</v>
      </c>
      <c r="K15" s="114"/>
    </row>
    <row r="16" spans="1:11" ht="38.25" x14ac:dyDescent="0.25">
      <c r="A16" s="102" t="s">
        <v>303</v>
      </c>
      <c r="B16" s="97" t="s">
        <v>304</v>
      </c>
      <c r="C16" s="98" t="s">
        <v>305</v>
      </c>
      <c r="D16" s="97" t="s">
        <v>306</v>
      </c>
      <c r="E16" s="97">
        <v>26.5</v>
      </c>
      <c r="F16" s="97" t="s">
        <v>307</v>
      </c>
      <c r="G16" s="103" t="s">
        <v>308</v>
      </c>
      <c r="J16" s="107" t="s">
        <v>0</v>
      </c>
      <c r="K16" s="108" t="s">
        <v>345</v>
      </c>
    </row>
    <row r="17" spans="1:11" ht="25.5" x14ac:dyDescent="0.25">
      <c r="A17" s="143" t="s">
        <v>309</v>
      </c>
      <c r="B17" s="94" t="s">
        <v>310</v>
      </c>
      <c r="C17" s="149" t="s">
        <v>313</v>
      </c>
      <c r="D17" s="145" t="s">
        <v>314</v>
      </c>
      <c r="E17" s="145">
        <v>29</v>
      </c>
      <c r="F17" s="145" t="s">
        <v>315</v>
      </c>
      <c r="G17" s="147" t="s">
        <v>316</v>
      </c>
      <c r="J17" s="112" t="s">
        <v>346</v>
      </c>
      <c r="K17" s="109" t="s">
        <v>347</v>
      </c>
    </row>
    <row r="18" spans="1:11" ht="25.5" x14ac:dyDescent="0.25">
      <c r="A18" s="156"/>
      <c r="B18" s="99" t="s">
        <v>311</v>
      </c>
      <c r="C18" s="157"/>
      <c r="D18" s="151"/>
      <c r="E18" s="151"/>
      <c r="F18" s="151"/>
      <c r="G18" s="152"/>
      <c r="J18" s="112" t="s">
        <v>348</v>
      </c>
      <c r="K18" s="109" t="s">
        <v>349</v>
      </c>
    </row>
    <row r="19" spans="1:11" x14ac:dyDescent="0.25">
      <c r="A19" s="144"/>
      <c r="B19" s="100" t="s">
        <v>312</v>
      </c>
      <c r="C19" s="150"/>
      <c r="D19" s="146"/>
      <c r="E19" s="146"/>
      <c r="F19" s="146"/>
      <c r="G19" s="148"/>
      <c r="J19" s="102" t="s">
        <v>350</v>
      </c>
      <c r="K19" s="109" t="s">
        <v>351</v>
      </c>
    </row>
    <row r="20" spans="1:11" ht="27" x14ac:dyDescent="0.25">
      <c r="A20" s="143" t="s">
        <v>317</v>
      </c>
      <c r="B20" s="145" t="s">
        <v>318</v>
      </c>
      <c r="C20" s="149" t="s">
        <v>319</v>
      </c>
      <c r="D20" s="145" t="s">
        <v>320</v>
      </c>
      <c r="E20" s="145">
        <v>20.5</v>
      </c>
      <c r="F20" s="145" t="s">
        <v>321</v>
      </c>
      <c r="G20" s="104" t="s">
        <v>322</v>
      </c>
      <c r="J20" s="102" t="s">
        <v>352</v>
      </c>
      <c r="K20" s="109" t="s">
        <v>353</v>
      </c>
    </row>
    <row r="21" spans="1:11" ht="27.75" thickBot="1" x14ac:dyDescent="0.3">
      <c r="A21" s="153"/>
      <c r="B21" s="154"/>
      <c r="C21" s="155"/>
      <c r="D21" s="154"/>
      <c r="E21" s="154"/>
      <c r="F21" s="154"/>
      <c r="G21" s="106" t="s">
        <v>323</v>
      </c>
      <c r="J21" s="102" t="s">
        <v>354</v>
      </c>
      <c r="K21" s="109" t="s">
        <v>355</v>
      </c>
    </row>
    <row r="22" spans="1:11" ht="15.75" thickBot="1" x14ac:dyDescent="0.3">
      <c r="J22" s="113" t="s">
        <v>356</v>
      </c>
      <c r="K22" s="115" t="s">
        <v>357</v>
      </c>
    </row>
  </sheetData>
  <mergeCells count="43">
    <mergeCell ref="J6:J7"/>
    <mergeCell ref="A20:A21"/>
    <mergeCell ref="B20:B21"/>
    <mergeCell ref="C20:C21"/>
    <mergeCell ref="D20:D21"/>
    <mergeCell ref="E20:E21"/>
    <mergeCell ref="F20:F21"/>
    <mergeCell ref="A17:A19"/>
    <mergeCell ref="C17:C19"/>
    <mergeCell ref="D17:D19"/>
    <mergeCell ref="E17:E19"/>
    <mergeCell ref="F17:F19"/>
    <mergeCell ref="G17:G19"/>
    <mergeCell ref="A14:A15"/>
    <mergeCell ref="B14:B15"/>
    <mergeCell ref="C14:C15"/>
    <mergeCell ref="D14:D15"/>
    <mergeCell ref="E14:E15"/>
    <mergeCell ref="F14:F15"/>
    <mergeCell ref="A12:A13"/>
    <mergeCell ref="B12:B13"/>
    <mergeCell ref="C12:C13"/>
    <mergeCell ref="D12:D13"/>
    <mergeCell ref="E12:E13"/>
    <mergeCell ref="F12:F13"/>
    <mergeCell ref="A10:A11"/>
    <mergeCell ref="B10:B11"/>
    <mergeCell ref="C10:C11"/>
    <mergeCell ref="D10:D11"/>
    <mergeCell ref="E10:E11"/>
    <mergeCell ref="F10:F11"/>
    <mergeCell ref="A3:A4"/>
    <mergeCell ref="B3:B4"/>
    <mergeCell ref="D3:D4"/>
    <mergeCell ref="E3:E4"/>
    <mergeCell ref="F3:F4"/>
    <mergeCell ref="G3:G4"/>
    <mergeCell ref="A1:A2"/>
    <mergeCell ref="B1:B2"/>
    <mergeCell ref="D1:D2"/>
    <mergeCell ref="E1:E2"/>
    <mergeCell ref="F1:F2"/>
    <mergeCell ref="G1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8"/>
  <sheetViews>
    <sheetView tabSelected="1" workbookViewId="0">
      <selection activeCell="C12" sqref="C12:C13"/>
    </sheetView>
  </sheetViews>
  <sheetFormatPr defaultRowHeight="15" x14ac:dyDescent="0.25"/>
  <cols>
    <col min="1" max="1" width="18.85546875" customWidth="1"/>
    <col min="3" max="3" width="12.5703125" customWidth="1"/>
  </cols>
  <sheetData>
    <row r="1" spans="1:7" ht="46.5" thickTop="1" thickBot="1" x14ac:dyDescent="0.3">
      <c r="A1" s="90" t="s">
        <v>166</v>
      </c>
      <c r="B1" s="90" t="s">
        <v>167</v>
      </c>
      <c r="C1" s="90" t="s">
        <v>130</v>
      </c>
      <c r="D1" s="90" t="s">
        <v>168</v>
      </c>
      <c r="E1" s="90" t="s">
        <v>169</v>
      </c>
      <c r="F1" s="90" t="s">
        <v>170</v>
      </c>
      <c r="G1" s="90" t="s">
        <v>171</v>
      </c>
    </row>
    <row r="2" spans="1:7" ht="44.25" customHeight="1" thickTop="1" x14ac:dyDescent="0.25">
      <c r="A2" s="158" t="s">
        <v>172</v>
      </c>
      <c r="B2" s="160" t="s">
        <v>173</v>
      </c>
      <c r="C2" s="158" t="s">
        <v>174</v>
      </c>
      <c r="D2" s="158">
        <v>70</v>
      </c>
      <c r="E2" s="158">
        <v>0.85</v>
      </c>
      <c r="F2" s="158">
        <v>20</v>
      </c>
      <c r="G2" s="158" t="s">
        <v>175</v>
      </c>
    </row>
    <row r="3" spans="1:7" ht="15.75" thickBot="1" x14ac:dyDescent="0.3">
      <c r="A3" s="159"/>
      <c r="B3" s="161"/>
      <c r="C3" s="159"/>
      <c r="D3" s="159"/>
      <c r="E3" s="159"/>
      <c r="F3" s="159"/>
      <c r="G3" s="159"/>
    </row>
    <row r="4" spans="1:7" ht="16.5" thickTop="1" thickBot="1" x14ac:dyDescent="0.3">
      <c r="A4" s="89"/>
      <c r="B4" s="89"/>
      <c r="C4" s="89" t="s">
        <v>176</v>
      </c>
      <c r="D4" s="89">
        <v>42</v>
      </c>
      <c r="E4" s="89">
        <v>0.57999999999999996</v>
      </c>
      <c r="F4" s="89">
        <v>16</v>
      </c>
      <c r="G4" s="89" t="s">
        <v>152</v>
      </c>
    </row>
    <row r="5" spans="1:7" ht="15.75" thickTop="1" x14ac:dyDescent="0.25">
      <c r="A5" s="158" t="s">
        <v>177</v>
      </c>
      <c r="B5" s="160" t="s">
        <v>178</v>
      </c>
      <c r="C5" s="158" t="s">
        <v>176</v>
      </c>
      <c r="D5" s="158">
        <v>42</v>
      </c>
      <c r="E5" s="158">
        <v>0.57999999999999996</v>
      </c>
      <c r="F5" s="158">
        <v>16</v>
      </c>
      <c r="G5" s="158" t="s">
        <v>152</v>
      </c>
    </row>
    <row r="6" spans="1:7" ht="15.75" thickBot="1" x14ac:dyDescent="0.3">
      <c r="A6" s="159"/>
      <c r="B6" s="161"/>
      <c r="C6" s="159"/>
      <c r="D6" s="159"/>
      <c r="E6" s="159"/>
      <c r="F6" s="159"/>
      <c r="G6" s="159"/>
    </row>
    <row r="7" spans="1:7" ht="16.5" thickTop="1" thickBot="1" x14ac:dyDescent="0.3">
      <c r="A7" s="89"/>
      <c r="B7" s="89"/>
      <c r="C7" s="89" t="s">
        <v>176</v>
      </c>
      <c r="D7" s="89">
        <v>26</v>
      </c>
      <c r="E7" s="89">
        <v>0.27</v>
      </c>
      <c r="F7" s="89">
        <v>16</v>
      </c>
      <c r="G7" s="89" t="s">
        <v>152</v>
      </c>
    </row>
    <row r="8" spans="1:7" ht="16.5" thickTop="1" thickBot="1" x14ac:dyDescent="0.3">
      <c r="A8" s="89"/>
      <c r="B8" s="89"/>
      <c r="C8" s="89" t="s">
        <v>176</v>
      </c>
      <c r="D8" s="89">
        <v>24.6</v>
      </c>
      <c r="E8" s="89">
        <v>0.25</v>
      </c>
      <c r="F8" s="89">
        <v>16</v>
      </c>
      <c r="G8" s="89" t="s">
        <v>152</v>
      </c>
    </row>
    <row r="9" spans="1:7" ht="29.25" customHeight="1" thickTop="1" x14ac:dyDescent="0.25">
      <c r="A9" s="158" t="s">
        <v>179</v>
      </c>
      <c r="B9" s="160" t="s">
        <v>180</v>
      </c>
      <c r="C9" s="158" t="s">
        <v>176</v>
      </c>
      <c r="D9" s="158">
        <v>42</v>
      </c>
      <c r="E9" s="158">
        <v>0.57999999999999996</v>
      </c>
      <c r="F9" s="158">
        <v>16</v>
      </c>
      <c r="G9" s="158" t="s">
        <v>152</v>
      </c>
    </row>
    <row r="10" spans="1:7" ht="15.75" thickBot="1" x14ac:dyDescent="0.3">
      <c r="A10" s="159"/>
      <c r="B10" s="161"/>
      <c r="C10" s="159"/>
      <c r="D10" s="159"/>
      <c r="E10" s="159"/>
      <c r="F10" s="159"/>
      <c r="G10" s="159"/>
    </row>
    <row r="11" spans="1:7" ht="16.5" thickTop="1" thickBot="1" x14ac:dyDescent="0.3">
      <c r="A11" s="89"/>
      <c r="B11" s="89"/>
      <c r="C11" s="89" t="s">
        <v>176</v>
      </c>
      <c r="D11" s="89">
        <v>42</v>
      </c>
      <c r="E11" s="89">
        <v>0.57999999999999996</v>
      </c>
      <c r="F11" s="89">
        <v>16</v>
      </c>
      <c r="G11" s="89" t="s">
        <v>152</v>
      </c>
    </row>
    <row r="12" spans="1:7" ht="29.25" customHeight="1" thickTop="1" x14ac:dyDescent="0.25">
      <c r="A12" s="158" t="s">
        <v>181</v>
      </c>
      <c r="B12" s="160" t="s">
        <v>182</v>
      </c>
      <c r="C12" s="158" t="s">
        <v>176</v>
      </c>
      <c r="D12" s="158">
        <v>42</v>
      </c>
      <c r="E12" s="158">
        <v>0.83</v>
      </c>
      <c r="F12" s="158">
        <v>11</v>
      </c>
      <c r="G12" s="158" t="s">
        <v>152</v>
      </c>
    </row>
    <row r="13" spans="1:7" ht="15.75" thickBot="1" x14ac:dyDescent="0.3">
      <c r="A13" s="159"/>
      <c r="B13" s="161"/>
      <c r="C13" s="159"/>
      <c r="D13" s="159"/>
      <c r="E13" s="159"/>
      <c r="F13" s="159"/>
      <c r="G13" s="159"/>
    </row>
    <row r="14" spans="1:7" ht="16.5" thickTop="1" thickBot="1" x14ac:dyDescent="0.3">
      <c r="A14" s="91"/>
      <c r="B14" s="91"/>
      <c r="C14" s="91" t="s">
        <v>176</v>
      </c>
      <c r="D14" s="91">
        <v>42</v>
      </c>
      <c r="E14" s="91">
        <v>0.83</v>
      </c>
      <c r="F14" s="91">
        <v>11</v>
      </c>
      <c r="G14" s="91" t="s">
        <v>152</v>
      </c>
    </row>
    <row r="15" spans="1:7" ht="16.5" thickTop="1" thickBot="1" x14ac:dyDescent="0.3">
      <c r="A15" s="91"/>
      <c r="B15" s="91"/>
      <c r="C15" s="91" t="s">
        <v>176</v>
      </c>
      <c r="D15" s="91">
        <v>34</v>
      </c>
      <c r="E15" s="91">
        <v>0.7</v>
      </c>
      <c r="F15" s="91">
        <v>11</v>
      </c>
      <c r="G15" s="91" t="s">
        <v>175</v>
      </c>
    </row>
    <row r="16" spans="1:7" ht="44.25" customHeight="1" thickTop="1" x14ac:dyDescent="0.25">
      <c r="A16" s="158" t="s">
        <v>183</v>
      </c>
      <c r="B16" s="160" t="s">
        <v>184</v>
      </c>
      <c r="C16" s="158" t="s">
        <v>185</v>
      </c>
      <c r="D16" s="158">
        <v>88</v>
      </c>
      <c r="E16" s="158">
        <v>0.6</v>
      </c>
      <c r="F16" s="158">
        <v>16</v>
      </c>
      <c r="G16" s="158" t="s">
        <v>152</v>
      </c>
    </row>
    <row r="17" spans="1:7" ht="15.75" thickBot="1" x14ac:dyDescent="0.3">
      <c r="A17" s="159"/>
      <c r="B17" s="161"/>
      <c r="C17" s="159"/>
      <c r="D17" s="159"/>
      <c r="E17" s="159"/>
      <c r="F17" s="159"/>
      <c r="G17" s="159"/>
    </row>
    <row r="18" spans="1:7" ht="31.5" thickTop="1" thickBot="1" x14ac:dyDescent="0.3">
      <c r="A18" s="89"/>
      <c r="B18" s="89"/>
      <c r="C18" s="89" t="s">
        <v>185</v>
      </c>
      <c r="D18" s="89">
        <v>88</v>
      </c>
      <c r="E18" s="89">
        <v>0.6</v>
      </c>
      <c r="F18" s="89">
        <v>16</v>
      </c>
      <c r="G18" s="89" t="s">
        <v>152</v>
      </c>
    </row>
    <row r="19" spans="1:7" ht="29.25" customHeight="1" thickTop="1" x14ac:dyDescent="0.25">
      <c r="A19" s="158" t="s">
        <v>186</v>
      </c>
      <c r="B19" s="160" t="s">
        <v>187</v>
      </c>
      <c r="C19" s="158" t="s">
        <v>176</v>
      </c>
      <c r="D19" s="158">
        <v>46</v>
      </c>
      <c r="E19" s="158">
        <v>0.62</v>
      </c>
      <c r="F19" s="158">
        <v>16</v>
      </c>
      <c r="G19" s="158" t="s">
        <v>152</v>
      </c>
    </row>
    <row r="20" spans="1:7" ht="15.75" thickBot="1" x14ac:dyDescent="0.3">
      <c r="A20" s="159"/>
      <c r="B20" s="161"/>
      <c r="C20" s="159"/>
      <c r="D20" s="159"/>
      <c r="E20" s="159"/>
      <c r="F20" s="159"/>
      <c r="G20" s="159"/>
    </row>
    <row r="21" spans="1:7" ht="31.5" thickTop="1" thickBot="1" x14ac:dyDescent="0.3">
      <c r="A21" s="89"/>
      <c r="B21" s="89"/>
      <c r="C21" s="89" t="s">
        <v>188</v>
      </c>
      <c r="D21" s="89">
        <v>17</v>
      </c>
      <c r="E21" s="89">
        <v>0.56000000000000005</v>
      </c>
      <c r="F21" s="89">
        <v>6</v>
      </c>
      <c r="G21" s="89" t="s">
        <v>152</v>
      </c>
    </row>
    <row r="22" spans="1:7" ht="15.75" thickTop="1" x14ac:dyDescent="0.25">
      <c r="A22" s="158" t="s">
        <v>189</v>
      </c>
      <c r="B22" s="160" t="s">
        <v>190</v>
      </c>
      <c r="C22" s="158" t="s">
        <v>176</v>
      </c>
      <c r="D22" s="158">
        <v>35</v>
      </c>
      <c r="E22" s="158">
        <v>0.7</v>
      </c>
      <c r="F22" s="158">
        <v>11</v>
      </c>
      <c r="G22" s="158" t="s">
        <v>152</v>
      </c>
    </row>
    <row r="23" spans="1:7" ht="15.75" thickBot="1" x14ac:dyDescent="0.3">
      <c r="A23" s="159"/>
      <c r="B23" s="161"/>
      <c r="C23" s="159"/>
      <c r="D23" s="159"/>
      <c r="E23" s="159"/>
      <c r="F23" s="159"/>
      <c r="G23" s="159"/>
    </row>
    <row r="24" spans="1:7" ht="16.5" thickTop="1" thickBot="1" x14ac:dyDescent="0.3">
      <c r="A24" s="91"/>
      <c r="B24" s="91"/>
      <c r="C24" s="91" t="s">
        <v>176</v>
      </c>
      <c r="D24" s="91">
        <v>42</v>
      </c>
      <c r="E24" s="91">
        <v>0.57999999999999996</v>
      </c>
      <c r="F24" s="91">
        <v>11</v>
      </c>
      <c r="G24" s="91" t="s">
        <v>152</v>
      </c>
    </row>
    <row r="25" spans="1:7" ht="16.5" thickTop="1" thickBot="1" x14ac:dyDescent="0.3">
      <c r="A25" s="92"/>
      <c r="B25" s="92"/>
      <c r="C25" s="92" t="s">
        <v>176</v>
      </c>
      <c r="D25" s="92">
        <v>42</v>
      </c>
      <c r="E25" s="92">
        <v>0.57999999999999996</v>
      </c>
      <c r="F25" s="92">
        <v>11</v>
      </c>
      <c r="G25" s="92" t="s">
        <v>152</v>
      </c>
    </row>
    <row r="26" spans="1:7" ht="44.25" customHeight="1" thickTop="1" x14ac:dyDescent="0.25">
      <c r="A26" s="158" t="s">
        <v>191</v>
      </c>
      <c r="B26" s="160" t="s">
        <v>192</v>
      </c>
      <c r="C26" s="158" t="s">
        <v>193</v>
      </c>
      <c r="D26" s="158">
        <v>22</v>
      </c>
      <c r="E26" s="158">
        <v>0.88</v>
      </c>
      <c r="F26" s="158">
        <v>6</v>
      </c>
      <c r="G26" s="158" t="s">
        <v>194</v>
      </c>
    </row>
    <row r="27" spans="1:7" ht="15.75" thickBot="1" x14ac:dyDescent="0.3">
      <c r="A27" s="159"/>
      <c r="B27" s="161"/>
      <c r="C27" s="159"/>
      <c r="D27" s="159"/>
      <c r="E27" s="159"/>
      <c r="F27" s="159"/>
      <c r="G27" s="159"/>
    </row>
    <row r="28" spans="1:7" ht="31.5" thickTop="1" thickBot="1" x14ac:dyDescent="0.3">
      <c r="A28" s="89"/>
      <c r="B28" s="89"/>
      <c r="C28" s="89" t="s">
        <v>193</v>
      </c>
      <c r="D28" s="89">
        <v>23</v>
      </c>
      <c r="E28" s="89">
        <v>1.1000000000000001</v>
      </c>
      <c r="F28" s="89">
        <v>5</v>
      </c>
      <c r="G28" s="89" t="s">
        <v>194</v>
      </c>
    </row>
    <row r="29" spans="1:7" ht="29.25" customHeight="1" thickTop="1" x14ac:dyDescent="0.25">
      <c r="A29" s="158" t="s">
        <v>195</v>
      </c>
      <c r="B29" s="160" t="s">
        <v>196</v>
      </c>
      <c r="C29" s="158" t="s">
        <v>185</v>
      </c>
      <c r="D29" s="158">
        <v>38</v>
      </c>
      <c r="E29" s="158">
        <v>0.48</v>
      </c>
      <c r="F29" s="158">
        <v>16</v>
      </c>
      <c r="G29" s="158" t="s">
        <v>152</v>
      </c>
    </row>
    <row r="30" spans="1:7" ht="15.75" thickBot="1" x14ac:dyDescent="0.3">
      <c r="A30" s="159"/>
      <c r="B30" s="161"/>
      <c r="C30" s="159"/>
      <c r="D30" s="159"/>
      <c r="E30" s="159"/>
      <c r="F30" s="159"/>
      <c r="G30" s="159"/>
    </row>
    <row r="31" spans="1:7" ht="31.5" thickTop="1" thickBot="1" x14ac:dyDescent="0.3">
      <c r="A31" s="89"/>
      <c r="B31" s="89"/>
      <c r="C31" s="89" t="s">
        <v>197</v>
      </c>
      <c r="D31" s="89">
        <v>52</v>
      </c>
      <c r="E31" s="89">
        <v>0.36</v>
      </c>
      <c r="F31" s="89">
        <v>16</v>
      </c>
      <c r="G31" s="89" t="s">
        <v>152</v>
      </c>
    </row>
    <row r="32" spans="1:7" ht="31.5" thickTop="1" thickBot="1" x14ac:dyDescent="0.3">
      <c r="A32" s="91"/>
      <c r="B32" s="91"/>
      <c r="C32" s="91" t="s">
        <v>198</v>
      </c>
      <c r="D32" s="91">
        <v>80</v>
      </c>
      <c r="E32" s="91">
        <v>0.2</v>
      </c>
      <c r="F32" s="91">
        <v>16</v>
      </c>
      <c r="G32" s="91" t="s">
        <v>199</v>
      </c>
    </row>
    <row r="33" spans="1:7" ht="15.75" thickTop="1" x14ac:dyDescent="0.25">
      <c r="A33" s="158" t="s">
        <v>200</v>
      </c>
      <c r="B33" s="160" t="s">
        <v>201</v>
      </c>
      <c r="C33" s="158" t="s">
        <v>176</v>
      </c>
      <c r="D33" s="158">
        <v>46</v>
      </c>
      <c r="E33" s="158">
        <v>0.65</v>
      </c>
      <c r="F33" s="158">
        <v>16</v>
      </c>
      <c r="G33" s="158" t="s">
        <v>175</v>
      </c>
    </row>
    <row r="34" spans="1:7" ht="15.75" thickBot="1" x14ac:dyDescent="0.3">
      <c r="A34" s="159"/>
      <c r="B34" s="161"/>
      <c r="C34" s="159"/>
      <c r="D34" s="159"/>
      <c r="E34" s="159"/>
      <c r="F34" s="159"/>
      <c r="G34" s="159"/>
    </row>
    <row r="35" spans="1:7" ht="31.5" thickTop="1" thickBot="1" x14ac:dyDescent="0.3">
      <c r="A35" s="89"/>
      <c r="B35" s="89"/>
      <c r="C35" s="89" t="s">
        <v>202</v>
      </c>
      <c r="D35" s="89">
        <v>18</v>
      </c>
      <c r="E35" s="89">
        <v>0.67</v>
      </c>
      <c r="F35" s="89">
        <v>6</v>
      </c>
      <c r="G35" s="89" t="s">
        <v>152</v>
      </c>
    </row>
    <row r="36" spans="1:7" ht="44.25" customHeight="1" thickTop="1" x14ac:dyDescent="0.25">
      <c r="A36" s="158" t="s">
        <v>203</v>
      </c>
      <c r="B36" s="160" t="s">
        <v>204</v>
      </c>
      <c r="C36" s="158" t="s">
        <v>176</v>
      </c>
      <c r="D36" s="158">
        <v>42</v>
      </c>
      <c r="E36" s="158">
        <v>0.57999999999999996</v>
      </c>
      <c r="F36" s="158">
        <v>16</v>
      </c>
      <c r="G36" s="158" t="s">
        <v>152</v>
      </c>
    </row>
    <row r="37" spans="1:7" ht="15.75" thickBot="1" x14ac:dyDescent="0.3">
      <c r="A37" s="159"/>
      <c r="B37" s="161"/>
      <c r="C37" s="159"/>
      <c r="D37" s="159"/>
      <c r="E37" s="159"/>
      <c r="F37" s="159"/>
      <c r="G37" s="159"/>
    </row>
    <row r="38" spans="1:7" ht="16.5" thickTop="1" thickBot="1" x14ac:dyDescent="0.3">
      <c r="A38" s="91"/>
      <c r="B38" s="91"/>
      <c r="C38" s="91" t="s">
        <v>176</v>
      </c>
      <c r="D38" s="91">
        <v>23</v>
      </c>
      <c r="E38" s="91">
        <v>0.2</v>
      </c>
      <c r="F38" s="91">
        <v>16</v>
      </c>
      <c r="G38" s="91" t="s">
        <v>175</v>
      </c>
    </row>
    <row r="39" spans="1:7" ht="16.5" thickTop="1" thickBot="1" x14ac:dyDescent="0.3">
      <c r="A39" s="89"/>
      <c r="B39" s="89"/>
      <c r="C39" s="89" t="s">
        <v>176</v>
      </c>
      <c r="D39" s="89" t="s">
        <v>205</v>
      </c>
      <c r="E39" s="89">
        <v>0.26</v>
      </c>
      <c r="F39" s="89">
        <v>16</v>
      </c>
      <c r="G39" s="89" t="s">
        <v>152</v>
      </c>
    </row>
    <row r="40" spans="1:7" ht="29.25" customHeight="1" thickTop="1" x14ac:dyDescent="0.25">
      <c r="A40" s="158" t="s">
        <v>206</v>
      </c>
      <c r="B40" s="160" t="s">
        <v>207</v>
      </c>
      <c r="C40" s="158" t="s">
        <v>208</v>
      </c>
      <c r="D40" s="158">
        <v>230</v>
      </c>
      <c r="E40" s="158">
        <v>1.8</v>
      </c>
      <c r="F40" s="158">
        <v>20</v>
      </c>
      <c r="G40" s="158" t="s">
        <v>175</v>
      </c>
    </row>
    <row r="41" spans="1:7" ht="15.75" thickBot="1" x14ac:dyDescent="0.3">
      <c r="A41" s="159"/>
      <c r="B41" s="161"/>
      <c r="C41" s="159"/>
      <c r="D41" s="159"/>
      <c r="E41" s="159"/>
      <c r="F41" s="159"/>
      <c r="G41" s="159"/>
    </row>
    <row r="42" spans="1:7" ht="31.5" thickTop="1" thickBot="1" x14ac:dyDescent="0.3">
      <c r="A42" s="91"/>
      <c r="B42" s="91"/>
      <c r="C42" s="91" t="s">
        <v>208</v>
      </c>
      <c r="D42" s="91">
        <v>375</v>
      </c>
      <c r="E42" s="91">
        <v>3</v>
      </c>
      <c r="F42" s="91">
        <v>11</v>
      </c>
      <c r="G42" s="91" t="s">
        <v>175</v>
      </c>
    </row>
    <row r="43" spans="1:7" ht="29.25" customHeight="1" thickTop="1" x14ac:dyDescent="0.25">
      <c r="A43" s="158" t="s">
        <v>209</v>
      </c>
      <c r="B43" s="160" t="s">
        <v>210</v>
      </c>
      <c r="C43" s="158" t="s">
        <v>176</v>
      </c>
      <c r="D43" s="158">
        <v>35</v>
      </c>
      <c r="E43" s="158">
        <v>0.7</v>
      </c>
      <c r="F43" s="158">
        <v>11</v>
      </c>
      <c r="G43" s="158" t="s">
        <v>152</v>
      </c>
    </row>
    <row r="44" spans="1:7" ht="15.75" thickBot="1" x14ac:dyDescent="0.3">
      <c r="A44" s="159"/>
      <c r="B44" s="161"/>
      <c r="C44" s="159"/>
      <c r="D44" s="159"/>
      <c r="E44" s="159"/>
      <c r="F44" s="159"/>
      <c r="G44" s="159"/>
    </row>
    <row r="45" spans="1:7" ht="16.5" thickTop="1" thickBot="1" x14ac:dyDescent="0.3">
      <c r="A45" s="91"/>
      <c r="B45" s="91"/>
      <c r="C45" s="91" t="s">
        <v>176</v>
      </c>
      <c r="D45" s="91">
        <v>35</v>
      </c>
      <c r="E45" s="91">
        <v>0.7</v>
      </c>
      <c r="F45" s="91">
        <v>11</v>
      </c>
      <c r="G45" s="91" t="s">
        <v>152</v>
      </c>
    </row>
    <row r="46" spans="1:7" ht="16.5" thickTop="1" thickBot="1" x14ac:dyDescent="0.3">
      <c r="A46" s="91"/>
      <c r="B46" s="91"/>
      <c r="C46" s="91" t="s">
        <v>176</v>
      </c>
      <c r="D46" s="91">
        <v>35</v>
      </c>
      <c r="E46" s="91">
        <v>0.7</v>
      </c>
      <c r="F46" s="91">
        <v>11</v>
      </c>
      <c r="G46" s="91" t="s">
        <v>152</v>
      </c>
    </row>
    <row r="47" spans="1:7" ht="15.75" thickTop="1" x14ac:dyDescent="0.25">
      <c r="A47" s="158" t="s">
        <v>211</v>
      </c>
      <c r="B47" s="160" t="s">
        <v>212</v>
      </c>
      <c r="C47" s="158" t="s">
        <v>174</v>
      </c>
      <c r="D47" s="158">
        <v>150</v>
      </c>
      <c r="E47" s="158">
        <v>1.5</v>
      </c>
      <c r="F47" s="158">
        <v>24</v>
      </c>
      <c r="G47" s="158" t="s">
        <v>175</v>
      </c>
    </row>
    <row r="48" spans="1:7" ht="15.75" thickBot="1" x14ac:dyDescent="0.3">
      <c r="A48" s="159"/>
      <c r="B48" s="161"/>
      <c r="C48" s="159"/>
      <c r="D48" s="159"/>
      <c r="E48" s="159"/>
      <c r="F48" s="159"/>
      <c r="G48" s="159"/>
    </row>
    <row r="49" spans="1:7" ht="29.25" customHeight="1" thickTop="1" x14ac:dyDescent="0.25">
      <c r="A49" s="158" t="s">
        <v>213</v>
      </c>
      <c r="B49" s="160" t="s">
        <v>214</v>
      </c>
      <c r="C49" s="158" t="s">
        <v>176</v>
      </c>
      <c r="D49" s="158">
        <v>32</v>
      </c>
      <c r="E49" s="158">
        <v>0.64</v>
      </c>
      <c r="F49" s="158">
        <v>11</v>
      </c>
      <c r="G49" s="158" t="s">
        <v>152</v>
      </c>
    </row>
    <row r="50" spans="1:7" ht="15.75" thickBot="1" x14ac:dyDescent="0.3">
      <c r="A50" s="159"/>
      <c r="B50" s="161"/>
      <c r="C50" s="159"/>
      <c r="D50" s="159"/>
      <c r="E50" s="159"/>
      <c r="F50" s="159"/>
      <c r="G50" s="159"/>
    </row>
    <row r="51" spans="1:7" ht="16.5" thickTop="1" thickBot="1" x14ac:dyDescent="0.3">
      <c r="A51" s="89"/>
      <c r="B51" s="89"/>
      <c r="C51" s="89" t="s">
        <v>215</v>
      </c>
      <c r="D51" s="89">
        <v>32</v>
      </c>
      <c r="E51" s="89">
        <v>0.64</v>
      </c>
      <c r="F51" s="89">
        <v>11</v>
      </c>
      <c r="G51" s="89" t="s">
        <v>152</v>
      </c>
    </row>
    <row r="52" spans="1:7" ht="31.5" thickTop="1" thickBot="1" x14ac:dyDescent="0.3">
      <c r="A52" s="89"/>
      <c r="B52" s="89"/>
      <c r="C52" s="89" t="s">
        <v>216</v>
      </c>
      <c r="D52" s="89" t="s">
        <v>217</v>
      </c>
      <c r="E52" s="89" t="s">
        <v>218</v>
      </c>
      <c r="F52" s="89">
        <v>11</v>
      </c>
      <c r="G52" s="89" t="s">
        <v>152</v>
      </c>
    </row>
    <row r="53" spans="1:7" ht="15.75" thickTop="1" x14ac:dyDescent="0.25">
      <c r="A53" s="158" t="s">
        <v>219</v>
      </c>
      <c r="B53" s="160" t="s">
        <v>220</v>
      </c>
      <c r="C53" s="158" t="s">
        <v>174</v>
      </c>
      <c r="D53" s="158">
        <v>150</v>
      </c>
      <c r="E53" s="158">
        <v>1.5</v>
      </c>
      <c r="F53" s="158">
        <v>24</v>
      </c>
      <c r="G53" s="158" t="s">
        <v>175</v>
      </c>
    </row>
    <row r="54" spans="1:7" ht="15.75" thickBot="1" x14ac:dyDescent="0.3">
      <c r="A54" s="159"/>
      <c r="B54" s="161"/>
      <c r="C54" s="159"/>
      <c r="D54" s="159"/>
      <c r="E54" s="159"/>
      <c r="F54" s="159"/>
      <c r="G54" s="159"/>
    </row>
    <row r="55" spans="1:7" ht="16.5" thickTop="1" thickBot="1" x14ac:dyDescent="0.3">
      <c r="A55" s="89"/>
      <c r="B55" s="89"/>
      <c r="C55" s="89" t="s">
        <v>176</v>
      </c>
      <c r="D55" s="89">
        <v>44</v>
      </c>
      <c r="E55" s="89">
        <v>0.6</v>
      </c>
      <c r="F55" s="89">
        <v>16</v>
      </c>
      <c r="G55" s="89" t="s">
        <v>152</v>
      </c>
    </row>
    <row r="56" spans="1:7" ht="16.5" thickTop="1" thickBot="1" x14ac:dyDescent="0.3">
      <c r="A56" s="89"/>
      <c r="B56" s="89"/>
      <c r="C56" s="89" t="s">
        <v>176</v>
      </c>
      <c r="D56" s="89">
        <v>32</v>
      </c>
      <c r="E56" s="89">
        <v>0.4</v>
      </c>
      <c r="F56" s="89">
        <v>16</v>
      </c>
      <c r="G56" s="89" t="s">
        <v>152</v>
      </c>
    </row>
    <row r="57" spans="1:7" ht="29.25" customHeight="1" thickTop="1" x14ac:dyDescent="0.25">
      <c r="A57" s="158" t="s">
        <v>221</v>
      </c>
      <c r="B57" s="160" t="s">
        <v>222</v>
      </c>
      <c r="C57" s="158" t="s">
        <v>176</v>
      </c>
      <c r="D57" s="158">
        <v>32</v>
      </c>
      <c r="E57" s="158">
        <v>0.64</v>
      </c>
      <c r="F57" s="158">
        <v>11</v>
      </c>
      <c r="G57" s="158" t="s">
        <v>152</v>
      </c>
    </row>
    <row r="58" spans="1:7" ht="15.75" thickBot="1" x14ac:dyDescent="0.3">
      <c r="A58" s="159"/>
      <c r="B58" s="161"/>
      <c r="C58" s="159"/>
      <c r="D58" s="159"/>
      <c r="E58" s="159"/>
      <c r="F58" s="159"/>
      <c r="G58" s="159"/>
    </row>
    <row r="59" spans="1:7" ht="16.5" thickTop="1" thickBot="1" x14ac:dyDescent="0.3">
      <c r="A59" s="89"/>
      <c r="B59" s="89"/>
      <c r="C59" s="89" t="s">
        <v>176</v>
      </c>
      <c r="D59" s="89">
        <v>35</v>
      </c>
      <c r="E59" s="89">
        <v>0.73</v>
      </c>
      <c r="F59" s="89">
        <v>11</v>
      </c>
      <c r="G59" s="89" t="s">
        <v>152</v>
      </c>
    </row>
    <row r="60" spans="1:7" ht="16.5" thickTop="1" thickBot="1" x14ac:dyDescent="0.3">
      <c r="A60" s="89"/>
      <c r="B60" s="89"/>
      <c r="C60" s="89" t="s">
        <v>176</v>
      </c>
      <c r="D60" s="89">
        <v>35</v>
      </c>
      <c r="E60" s="89">
        <v>0.73</v>
      </c>
      <c r="F60" s="89">
        <v>11</v>
      </c>
      <c r="G60" s="89" t="s">
        <v>152</v>
      </c>
    </row>
    <row r="61" spans="1:7" ht="15.75" thickTop="1" x14ac:dyDescent="0.25">
      <c r="A61" s="158" t="s">
        <v>223</v>
      </c>
      <c r="B61" s="160" t="s">
        <v>224</v>
      </c>
      <c r="C61" s="158" t="s">
        <v>176</v>
      </c>
      <c r="D61" s="158">
        <v>42</v>
      </c>
      <c r="E61" s="158">
        <v>0.57999999999999996</v>
      </c>
      <c r="F61" s="158">
        <v>16</v>
      </c>
      <c r="G61" s="158" t="s">
        <v>152</v>
      </c>
    </row>
    <row r="62" spans="1:7" ht="15.75" thickBot="1" x14ac:dyDescent="0.3">
      <c r="A62" s="159"/>
      <c r="B62" s="161"/>
      <c r="C62" s="159"/>
      <c r="D62" s="159"/>
      <c r="E62" s="159"/>
      <c r="F62" s="159"/>
      <c r="G62" s="159"/>
    </row>
    <row r="63" spans="1:7" ht="16.5" thickTop="1" thickBot="1" x14ac:dyDescent="0.3">
      <c r="A63" s="89"/>
      <c r="B63" s="89"/>
      <c r="C63" s="89" t="s">
        <v>174</v>
      </c>
      <c r="D63" s="89">
        <v>80</v>
      </c>
      <c r="E63" s="89">
        <v>0.81</v>
      </c>
      <c r="F63" s="89">
        <v>16</v>
      </c>
      <c r="G63" s="89" t="s">
        <v>175</v>
      </c>
    </row>
    <row r="64" spans="1:7" ht="31.5" thickTop="1" thickBot="1" x14ac:dyDescent="0.3">
      <c r="A64" s="89"/>
      <c r="B64" s="89"/>
      <c r="C64" s="89" t="s">
        <v>225</v>
      </c>
      <c r="D64" s="89">
        <v>52</v>
      </c>
      <c r="E64" s="89">
        <v>0.36</v>
      </c>
      <c r="F64" s="89">
        <v>16</v>
      </c>
      <c r="G64" s="89" t="s">
        <v>152</v>
      </c>
    </row>
    <row r="65" spans="1:7" ht="44.25" customHeight="1" thickTop="1" x14ac:dyDescent="0.25">
      <c r="A65" s="158" t="s">
        <v>226</v>
      </c>
      <c r="B65" s="160" t="s">
        <v>227</v>
      </c>
      <c r="C65" s="158" t="s">
        <v>193</v>
      </c>
      <c r="D65" s="158">
        <v>23</v>
      </c>
      <c r="E65" s="158">
        <v>0.74</v>
      </c>
      <c r="F65" s="158">
        <v>6</v>
      </c>
      <c r="G65" s="158" t="s">
        <v>228</v>
      </c>
    </row>
    <row r="66" spans="1:7" ht="15.75" thickBot="1" x14ac:dyDescent="0.3">
      <c r="A66" s="159"/>
      <c r="B66" s="161"/>
      <c r="C66" s="159"/>
      <c r="D66" s="159"/>
      <c r="E66" s="159"/>
      <c r="F66" s="159"/>
      <c r="G66" s="159"/>
    </row>
    <row r="67" spans="1:7" ht="16.5" thickTop="1" thickBot="1" x14ac:dyDescent="0.3">
      <c r="A67" s="89"/>
      <c r="B67" s="89"/>
      <c r="C67" s="89" t="s">
        <v>176</v>
      </c>
      <c r="D67" s="89">
        <v>42</v>
      </c>
      <c r="E67" s="89">
        <v>0.57999999999999996</v>
      </c>
      <c r="F67" s="89">
        <v>16</v>
      </c>
      <c r="G67" s="89" t="s">
        <v>152</v>
      </c>
    </row>
    <row r="68" spans="1:7" ht="44.25" customHeight="1" thickTop="1" x14ac:dyDescent="0.25">
      <c r="A68" s="158" t="s">
        <v>229</v>
      </c>
      <c r="B68" s="160" t="s">
        <v>230</v>
      </c>
      <c r="C68" s="158" t="s">
        <v>176</v>
      </c>
      <c r="D68" s="158">
        <v>35</v>
      </c>
      <c r="E68" s="158">
        <v>0.7</v>
      </c>
      <c r="F68" s="158">
        <v>11</v>
      </c>
      <c r="G68" s="158" t="s">
        <v>152</v>
      </c>
    </row>
    <row r="69" spans="1:7" ht="15.75" thickBot="1" x14ac:dyDescent="0.3">
      <c r="A69" s="159"/>
      <c r="B69" s="161"/>
      <c r="C69" s="159"/>
      <c r="D69" s="159"/>
      <c r="E69" s="159"/>
      <c r="F69" s="159"/>
      <c r="G69" s="159"/>
    </row>
    <row r="70" spans="1:7" ht="15.75" thickTop="1" x14ac:dyDescent="0.25">
      <c r="A70" s="158" t="s">
        <v>231</v>
      </c>
      <c r="B70" s="160" t="s">
        <v>232</v>
      </c>
      <c r="C70" s="158" t="s">
        <v>176</v>
      </c>
      <c r="D70" s="158">
        <v>42</v>
      </c>
      <c r="E70" s="158">
        <v>0.57999999999999996</v>
      </c>
      <c r="F70" s="158">
        <v>16</v>
      </c>
      <c r="G70" s="158" t="s">
        <v>152</v>
      </c>
    </row>
    <row r="71" spans="1:7" ht="15.75" thickBot="1" x14ac:dyDescent="0.3">
      <c r="A71" s="159"/>
      <c r="B71" s="161"/>
      <c r="C71" s="159"/>
      <c r="D71" s="159"/>
      <c r="E71" s="159"/>
      <c r="F71" s="159"/>
      <c r="G71" s="159"/>
    </row>
    <row r="72" spans="1:7" ht="31.5" thickTop="1" thickBot="1" x14ac:dyDescent="0.3">
      <c r="A72" s="89"/>
      <c r="B72" s="89"/>
      <c r="C72" s="89" t="s">
        <v>176</v>
      </c>
      <c r="D72" s="89">
        <v>42</v>
      </c>
      <c r="E72" s="89">
        <v>0.52</v>
      </c>
      <c r="F72" s="89">
        <v>16</v>
      </c>
      <c r="G72" s="89" t="s">
        <v>228</v>
      </c>
    </row>
    <row r="73" spans="1:7" ht="15.75" thickTop="1" x14ac:dyDescent="0.25">
      <c r="A73" s="158" t="s">
        <v>233</v>
      </c>
      <c r="B73" s="160" t="s">
        <v>234</v>
      </c>
      <c r="C73" s="158" t="s">
        <v>215</v>
      </c>
      <c r="D73" s="158">
        <v>40</v>
      </c>
      <c r="E73" s="158">
        <v>0.8</v>
      </c>
      <c r="F73" s="158">
        <v>11</v>
      </c>
      <c r="G73" s="158" t="s">
        <v>152</v>
      </c>
    </row>
    <row r="74" spans="1:7" ht="15.75" thickBot="1" x14ac:dyDescent="0.3">
      <c r="A74" s="159"/>
      <c r="B74" s="161"/>
      <c r="C74" s="159"/>
      <c r="D74" s="159"/>
      <c r="E74" s="159"/>
      <c r="F74" s="159"/>
      <c r="G74" s="159"/>
    </row>
    <row r="75" spans="1:7" ht="16.5" thickTop="1" thickBot="1" x14ac:dyDescent="0.3">
      <c r="A75" s="89"/>
      <c r="B75" s="89"/>
      <c r="C75" s="89" t="s">
        <v>176</v>
      </c>
      <c r="D75" s="89">
        <v>35</v>
      </c>
      <c r="E75" s="89">
        <v>0.7</v>
      </c>
      <c r="F75" s="89">
        <v>11</v>
      </c>
      <c r="G75" s="89" t="s">
        <v>152</v>
      </c>
    </row>
    <row r="76" spans="1:7" ht="16.5" thickTop="1" thickBot="1" x14ac:dyDescent="0.3">
      <c r="A76" s="89"/>
      <c r="B76" s="89"/>
      <c r="C76" s="89" t="s">
        <v>215</v>
      </c>
      <c r="D76" s="89">
        <v>35</v>
      </c>
      <c r="E76" s="89">
        <v>0.7</v>
      </c>
      <c r="F76" s="89">
        <v>11</v>
      </c>
      <c r="G76" s="89" t="s">
        <v>152</v>
      </c>
    </row>
    <row r="77" spans="1:7" ht="44.25" customHeight="1" thickTop="1" x14ac:dyDescent="0.25">
      <c r="A77" s="158" t="s">
        <v>235</v>
      </c>
      <c r="B77" s="160" t="s">
        <v>236</v>
      </c>
      <c r="C77" s="158" t="s">
        <v>193</v>
      </c>
      <c r="D77" s="158">
        <v>23</v>
      </c>
      <c r="E77" s="158">
        <v>0.74</v>
      </c>
      <c r="F77" s="158">
        <v>6</v>
      </c>
      <c r="G77" s="158" t="s">
        <v>228</v>
      </c>
    </row>
    <row r="78" spans="1:7" ht="15.75" thickBot="1" x14ac:dyDescent="0.3">
      <c r="A78" s="159"/>
      <c r="B78" s="161"/>
      <c r="C78" s="159"/>
      <c r="D78" s="159"/>
      <c r="E78" s="159"/>
      <c r="F78" s="159"/>
      <c r="G78" s="159"/>
    </row>
    <row r="79" spans="1:7" ht="31.5" thickTop="1" thickBot="1" x14ac:dyDescent="0.3">
      <c r="A79" s="89"/>
      <c r="B79" s="89"/>
      <c r="C79" s="89" t="s">
        <v>193</v>
      </c>
      <c r="D79" s="89">
        <v>23</v>
      </c>
      <c r="E79" s="89">
        <v>0.74</v>
      </c>
      <c r="F79" s="89">
        <v>6</v>
      </c>
      <c r="G79" s="89" t="s">
        <v>228</v>
      </c>
    </row>
    <row r="80" spans="1:7" ht="44.25" customHeight="1" thickTop="1" x14ac:dyDescent="0.25">
      <c r="A80" s="158" t="s">
        <v>237</v>
      </c>
      <c r="B80" s="160" t="s">
        <v>238</v>
      </c>
      <c r="C80" s="158" t="s">
        <v>215</v>
      </c>
      <c r="D80" s="158">
        <v>32</v>
      </c>
      <c r="E80" s="158">
        <v>0.64</v>
      </c>
      <c r="F80" s="158">
        <v>11</v>
      </c>
      <c r="G80" s="158" t="s">
        <v>152</v>
      </c>
    </row>
    <row r="81" spans="1:7" ht="15.75" thickBot="1" x14ac:dyDescent="0.3">
      <c r="A81" s="159"/>
      <c r="B81" s="161"/>
      <c r="C81" s="159"/>
      <c r="D81" s="159"/>
      <c r="E81" s="159"/>
      <c r="F81" s="159"/>
      <c r="G81" s="159"/>
    </row>
    <row r="82" spans="1:7" ht="16.5" thickTop="1" thickBot="1" x14ac:dyDescent="0.3">
      <c r="A82" s="89"/>
      <c r="B82" s="89"/>
      <c r="C82" s="89" t="s">
        <v>176</v>
      </c>
      <c r="D82" s="89">
        <v>32</v>
      </c>
      <c r="E82" s="89">
        <v>0.64</v>
      </c>
      <c r="F82" s="89">
        <v>11</v>
      </c>
      <c r="G82" s="89" t="s">
        <v>152</v>
      </c>
    </row>
    <row r="83" spans="1:7" ht="16.5" thickTop="1" thickBot="1" x14ac:dyDescent="0.3">
      <c r="A83" s="89"/>
      <c r="B83" s="89"/>
      <c r="C83" s="89" t="s">
        <v>176</v>
      </c>
      <c r="D83" s="89">
        <v>32</v>
      </c>
      <c r="E83" s="89">
        <v>0.64</v>
      </c>
      <c r="F83" s="89">
        <v>11</v>
      </c>
      <c r="G83" s="89" t="s">
        <v>152</v>
      </c>
    </row>
    <row r="84" spans="1:7" ht="15.75" thickTop="1" x14ac:dyDescent="0.25">
      <c r="A84" s="158" t="s">
        <v>239</v>
      </c>
      <c r="B84" s="160" t="s">
        <v>240</v>
      </c>
      <c r="C84" s="158" t="s">
        <v>176</v>
      </c>
      <c r="D84" s="158">
        <v>35</v>
      </c>
      <c r="E84" s="158">
        <v>0.47</v>
      </c>
      <c r="F84" s="158">
        <v>16</v>
      </c>
      <c r="G84" s="158" t="s">
        <v>152</v>
      </c>
    </row>
    <row r="85" spans="1:7" ht="15.75" thickBot="1" x14ac:dyDescent="0.3">
      <c r="A85" s="159"/>
      <c r="B85" s="161"/>
      <c r="C85" s="159"/>
      <c r="D85" s="159"/>
      <c r="E85" s="159"/>
      <c r="F85" s="159"/>
      <c r="G85" s="159"/>
    </row>
    <row r="86" spans="1:7" ht="31.5" thickTop="1" thickBot="1" x14ac:dyDescent="0.3">
      <c r="A86" s="89"/>
      <c r="B86" s="89"/>
      <c r="C86" s="89" t="s">
        <v>193</v>
      </c>
      <c r="D86" s="89">
        <v>21</v>
      </c>
      <c r="E86" s="89">
        <v>0.69</v>
      </c>
      <c r="F86" s="89">
        <v>6</v>
      </c>
      <c r="G86" s="89" t="s">
        <v>228</v>
      </c>
    </row>
    <row r="87" spans="1:7" ht="15.75" thickTop="1" x14ac:dyDescent="0.25">
      <c r="A87" s="158"/>
      <c r="B87" s="160" t="s">
        <v>241</v>
      </c>
      <c r="C87" s="158" t="s">
        <v>174</v>
      </c>
      <c r="D87" s="158">
        <v>70</v>
      </c>
      <c r="E87" s="158">
        <v>1</v>
      </c>
      <c r="F87" s="158">
        <v>16</v>
      </c>
      <c r="G87" s="158" t="s">
        <v>175</v>
      </c>
    </row>
    <row r="88" spans="1:7" ht="15.75" thickBot="1" x14ac:dyDescent="0.3">
      <c r="A88" s="159"/>
      <c r="B88" s="161"/>
      <c r="C88" s="159"/>
      <c r="D88" s="159"/>
      <c r="E88" s="159"/>
      <c r="F88" s="159"/>
      <c r="G88" s="159"/>
    </row>
    <row r="89" spans="1:7" ht="16.5" thickTop="1" thickBot="1" x14ac:dyDescent="0.3">
      <c r="A89" s="89"/>
      <c r="B89" s="89"/>
      <c r="C89" s="89"/>
      <c r="D89" s="89"/>
      <c r="E89" s="89"/>
      <c r="F89" s="89"/>
      <c r="G89" s="89"/>
    </row>
    <row r="90" spans="1:7" ht="16.5" thickTop="1" thickBot="1" x14ac:dyDescent="0.3">
      <c r="A90" s="89"/>
      <c r="B90" s="89"/>
      <c r="C90" s="89"/>
      <c r="D90" s="89"/>
      <c r="E90" s="89"/>
      <c r="F90" s="89"/>
      <c r="G90" s="89"/>
    </row>
    <row r="91" spans="1:7" ht="29.25" customHeight="1" thickTop="1" x14ac:dyDescent="0.25">
      <c r="A91" s="158" t="s">
        <v>242</v>
      </c>
      <c r="B91" s="160" t="s">
        <v>243</v>
      </c>
      <c r="C91" s="158" t="s">
        <v>176</v>
      </c>
      <c r="D91" s="158">
        <v>35</v>
      </c>
      <c r="E91" s="158">
        <v>0.7</v>
      </c>
      <c r="F91" s="158">
        <v>11</v>
      </c>
      <c r="G91" s="158" t="s">
        <v>152</v>
      </c>
    </row>
    <row r="92" spans="1:7" ht="15.75" thickBot="1" x14ac:dyDescent="0.3">
      <c r="A92" s="159"/>
      <c r="B92" s="161"/>
      <c r="C92" s="159"/>
      <c r="D92" s="159"/>
      <c r="E92" s="159"/>
      <c r="F92" s="159"/>
      <c r="G92" s="159"/>
    </row>
    <row r="93" spans="1:7" ht="16.5" thickTop="1" thickBot="1" x14ac:dyDescent="0.3">
      <c r="A93" s="89"/>
      <c r="B93" s="89"/>
      <c r="C93" s="89" t="s">
        <v>176</v>
      </c>
      <c r="D93" s="89">
        <v>32</v>
      </c>
      <c r="E93" s="89">
        <v>0.65</v>
      </c>
      <c r="F93" s="89">
        <v>11</v>
      </c>
      <c r="G93" s="89" t="s">
        <v>152</v>
      </c>
    </row>
    <row r="94" spans="1:7" ht="16.5" thickTop="1" thickBot="1" x14ac:dyDescent="0.3">
      <c r="A94" s="89"/>
      <c r="B94" s="89"/>
      <c r="C94" s="89" t="s">
        <v>176</v>
      </c>
      <c r="D94" s="89">
        <v>32</v>
      </c>
      <c r="E94" s="89">
        <v>0.65</v>
      </c>
      <c r="F94" s="89">
        <v>11</v>
      </c>
      <c r="G94" s="89" t="s">
        <v>152</v>
      </c>
    </row>
    <row r="95" spans="1:7" ht="15.75" thickTop="1" x14ac:dyDescent="0.25">
      <c r="A95" s="158" t="s">
        <v>244</v>
      </c>
      <c r="B95" s="160" t="s">
        <v>245</v>
      </c>
      <c r="C95" s="158" t="s">
        <v>176</v>
      </c>
      <c r="D95" s="158">
        <v>48</v>
      </c>
      <c r="E95" s="158">
        <v>0.63</v>
      </c>
      <c r="F95" s="158">
        <v>16</v>
      </c>
      <c r="G95" s="158" t="s">
        <v>152</v>
      </c>
    </row>
    <row r="96" spans="1:7" ht="15.75" thickBot="1" x14ac:dyDescent="0.3">
      <c r="A96" s="159"/>
      <c r="B96" s="161"/>
      <c r="C96" s="159"/>
      <c r="D96" s="159"/>
      <c r="E96" s="159"/>
      <c r="F96" s="159"/>
      <c r="G96" s="159"/>
    </row>
    <row r="97" spans="1:7" ht="16.5" thickTop="1" thickBot="1" x14ac:dyDescent="0.3">
      <c r="A97" s="89"/>
      <c r="B97" s="89"/>
      <c r="C97" s="89" t="s">
        <v>176</v>
      </c>
      <c r="D97" s="89">
        <v>40</v>
      </c>
      <c r="E97" s="89">
        <v>0.57999999999999996</v>
      </c>
      <c r="F97" s="89">
        <v>16</v>
      </c>
      <c r="G97" s="89" t="s">
        <v>152</v>
      </c>
    </row>
    <row r="98" spans="1:7" ht="15.75" thickTop="1" x14ac:dyDescent="0.25"/>
  </sheetData>
  <mergeCells count="196">
    <mergeCell ref="G91:G92"/>
    <mergeCell ref="A95:A96"/>
    <mergeCell ref="B95:B96"/>
    <mergeCell ref="C95:C96"/>
    <mergeCell ref="D95:D96"/>
    <mergeCell ref="E95:E96"/>
    <mergeCell ref="F95:F96"/>
    <mergeCell ref="G95:G96"/>
    <mergeCell ref="A91:A92"/>
    <mergeCell ref="B91:B92"/>
    <mergeCell ref="C91:C92"/>
    <mergeCell ref="D91:D92"/>
    <mergeCell ref="E91:E92"/>
    <mergeCell ref="F91:F92"/>
    <mergeCell ref="G84:G85"/>
    <mergeCell ref="A87:A88"/>
    <mergeCell ref="B87:B88"/>
    <mergeCell ref="C87:C88"/>
    <mergeCell ref="D87:D88"/>
    <mergeCell ref="E87:E88"/>
    <mergeCell ref="F87:F88"/>
    <mergeCell ref="G87:G88"/>
    <mergeCell ref="A84:A85"/>
    <mergeCell ref="B84:B85"/>
    <mergeCell ref="C84:C85"/>
    <mergeCell ref="D84:D85"/>
    <mergeCell ref="E84:E85"/>
    <mergeCell ref="F84:F85"/>
    <mergeCell ref="G77:G78"/>
    <mergeCell ref="A80:A81"/>
    <mergeCell ref="B80:B81"/>
    <mergeCell ref="C80:C81"/>
    <mergeCell ref="D80:D81"/>
    <mergeCell ref="E80:E81"/>
    <mergeCell ref="F80:F81"/>
    <mergeCell ref="G80:G81"/>
    <mergeCell ref="A77:A78"/>
    <mergeCell ref="B77:B78"/>
    <mergeCell ref="C77:C78"/>
    <mergeCell ref="D77:D78"/>
    <mergeCell ref="E77:E78"/>
    <mergeCell ref="F77:F78"/>
    <mergeCell ref="G70:G71"/>
    <mergeCell ref="A73:A74"/>
    <mergeCell ref="B73:B74"/>
    <mergeCell ref="C73:C74"/>
    <mergeCell ref="D73:D74"/>
    <mergeCell ref="E73:E74"/>
    <mergeCell ref="F73:F74"/>
    <mergeCell ref="G73:G74"/>
    <mergeCell ref="A70:A71"/>
    <mergeCell ref="B70:B71"/>
    <mergeCell ref="C70:C71"/>
    <mergeCell ref="D70:D71"/>
    <mergeCell ref="E70:E71"/>
    <mergeCell ref="F70:F71"/>
    <mergeCell ref="G65:G66"/>
    <mergeCell ref="A68:A69"/>
    <mergeCell ref="B68:B69"/>
    <mergeCell ref="C68:C69"/>
    <mergeCell ref="D68:D69"/>
    <mergeCell ref="E68:E69"/>
    <mergeCell ref="F68:F69"/>
    <mergeCell ref="G68:G69"/>
    <mergeCell ref="A65:A66"/>
    <mergeCell ref="B65:B66"/>
    <mergeCell ref="C65:C66"/>
    <mergeCell ref="D65:D66"/>
    <mergeCell ref="E65:E66"/>
    <mergeCell ref="F65:F66"/>
    <mergeCell ref="G57:G58"/>
    <mergeCell ref="A61:A62"/>
    <mergeCell ref="B61:B62"/>
    <mergeCell ref="C61:C62"/>
    <mergeCell ref="D61:D62"/>
    <mergeCell ref="E61:E62"/>
    <mergeCell ref="F61:F62"/>
    <mergeCell ref="G61:G62"/>
    <mergeCell ref="A57:A58"/>
    <mergeCell ref="B57:B58"/>
    <mergeCell ref="C57:C58"/>
    <mergeCell ref="D57:D58"/>
    <mergeCell ref="E57:E58"/>
    <mergeCell ref="F57:F58"/>
    <mergeCell ref="G49:G50"/>
    <mergeCell ref="A53:A54"/>
    <mergeCell ref="B53:B54"/>
    <mergeCell ref="C53:C54"/>
    <mergeCell ref="D53:D54"/>
    <mergeCell ref="E53:E54"/>
    <mergeCell ref="F53:F54"/>
    <mergeCell ref="G53:G54"/>
    <mergeCell ref="A49:A50"/>
    <mergeCell ref="B49:B50"/>
    <mergeCell ref="C49:C50"/>
    <mergeCell ref="D49:D50"/>
    <mergeCell ref="E49:E50"/>
    <mergeCell ref="F49:F50"/>
    <mergeCell ref="G43:G44"/>
    <mergeCell ref="A47:A48"/>
    <mergeCell ref="B47:B48"/>
    <mergeCell ref="C47:C48"/>
    <mergeCell ref="D47:D48"/>
    <mergeCell ref="E47:E48"/>
    <mergeCell ref="F47:F48"/>
    <mergeCell ref="G47:G48"/>
    <mergeCell ref="A43:A44"/>
    <mergeCell ref="B43:B44"/>
    <mergeCell ref="C43:C44"/>
    <mergeCell ref="D43:D44"/>
    <mergeCell ref="E43:E44"/>
    <mergeCell ref="F43:F44"/>
    <mergeCell ref="G36:G37"/>
    <mergeCell ref="A40:A41"/>
    <mergeCell ref="B40:B41"/>
    <mergeCell ref="C40:C41"/>
    <mergeCell ref="D40:D41"/>
    <mergeCell ref="E40:E41"/>
    <mergeCell ref="F40:F41"/>
    <mergeCell ref="G40:G41"/>
    <mergeCell ref="A36:A37"/>
    <mergeCell ref="B36:B37"/>
    <mergeCell ref="C36:C37"/>
    <mergeCell ref="D36:D37"/>
    <mergeCell ref="E36:E37"/>
    <mergeCell ref="F36:F37"/>
    <mergeCell ref="G29:G30"/>
    <mergeCell ref="A33:A34"/>
    <mergeCell ref="B33:B34"/>
    <mergeCell ref="C33:C34"/>
    <mergeCell ref="D33:D34"/>
    <mergeCell ref="E33:E34"/>
    <mergeCell ref="F33:F34"/>
    <mergeCell ref="G33:G34"/>
    <mergeCell ref="A29:A30"/>
    <mergeCell ref="B29:B30"/>
    <mergeCell ref="C29:C30"/>
    <mergeCell ref="D29:D30"/>
    <mergeCell ref="E29:E30"/>
    <mergeCell ref="F29:F30"/>
    <mergeCell ref="G22:G23"/>
    <mergeCell ref="A26:A27"/>
    <mergeCell ref="B26:B27"/>
    <mergeCell ref="C26:C27"/>
    <mergeCell ref="D26:D27"/>
    <mergeCell ref="E26:E27"/>
    <mergeCell ref="F26:F27"/>
    <mergeCell ref="G26:G27"/>
    <mergeCell ref="A22:A23"/>
    <mergeCell ref="B22:B23"/>
    <mergeCell ref="C22:C23"/>
    <mergeCell ref="D22:D23"/>
    <mergeCell ref="E22:E23"/>
    <mergeCell ref="F22:F23"/>
    <mergeCell ref="G16:G17"/>
    <mergeCell ref="A19:A20"/>
    <mergeCell ref="B19:B20"/>
    <mergeCell ref="C19:C20"/>
    <mergeCell ref="D19:D20"/>
    <mergeCell ref="E19:E20"/>
    <mergeCell ref="F19:F20"/>
    <mergeCell ref="G19:G20"/>
    <mergeCell ref="A16:A17"/>
    <mergeCell ref="B16:B17"/>
    <mergeCell ref="C16:C17"/>
    <mergeCell ref="D16:D17"/>
    <mergeCell ref="E16:E17"/>
    <mergeCell ref="F16:F17"/>
    <mergeCell ref="G9:G10"/>
    <mergeCell ref="A12:A13"/>
    <mergeCell ref="B12:B13"/>
    <mergeCell ref="C12:C13"/>
    <mergeCell ref="D12:D13"/>
    <mergeCell ref="E12:E13"/>
    <mergeCell ref="F12:F13"/>
    <mergeCell ref="G12:G13"/>
    <mergeCell ref="A9:A10"/>
    <mergeCell ref="B9:B10"/>
    <mergeCell ref="C9:C10"/>
    <mergeCell ref="D9:D10"/>
    <mergeCell ref="E9:E10"/>
    <mergeCell ref="F9:F10"/>
    <mergeCell ref="G2:G3"/>
    <mergeCell ref="A5:A6"/>
    <mergeCell ref="B5:B6"/>
    <mergeCell ref="C5:C6"/>
    <mergeCell ref="D5:D6"/>
    <mergeCell ref="E5:E6"/>
    <mergeCell ref="F5:F6"/>
    <mergeCell ref="G5:G6"/>
    <mergeCell ref="A2:A3"/>
    <mergeCell ref="B2:B3"/>
    <mergeCell ref="C2:C3"/>
    <mergeCell ref="D2:D3"/>
    <mergeCell ref="E2:E3"/>
    <mergeCell ref="F2:F3"/>
  </mergeCells>
  <hyperlinks>
    <hyperlink ref="B2"/>
    <hyperlink ref="B5"/>
    <hyperlink ref="B9"/>
    <hyperlink ref="B12"/>
    <hyperlink ref="B16"/>
    <hyperlink ref="B19"/>
    <hyperlink ref="B22"/>
    <hyperlink ref="B26"/>
    <hyperlink ref="B29"/>
    <hyperlink ref="B33"/>
    <hyperlink ref="B36"/>
    <hyperlink ref="B40"/>
    <hyperlink ref="B43"/>
    <hyperlink ref="B47"/>
    <hyperlink ref="B49"/>
    <hyperlink ref="B53"/>
    <hyperlink ref="B57"/>
    <hyperlink ref="B61"/>
    <hyperlink ref="B65"/>
    <hyperlink ref="B68"/>
    <hyperlink ref="B70"/>
    <hyperlink ref="B73"/>
    <hyperlink ref="B77"/>
    <hyperlink ref="B80"/>
    <hyperlink ref="B84"/>
    <hyperlink ref="B87"/>
    <hyperlink ref="B91"/>
    <hyperlink ref="B95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UndParamsThin</vt:lpstr>
      <vt:lpstr>UndParamThick</vt:lpstr>
      <vt:lpstr>BeamParams</vt:lpstr>
      <vt:lpstr>PrecisionThin</vt:lpstr>
      <vt:lpstr>PrecisionThick</vt:lpstr>
      <vt:lpstr>wfr</vt:lpstr>
      <vt:lpstr>IDsNSLS-II</vt:lpstr>
      <vt:lpstr>IDsAPS</vt:lpstr>
      <vt:lpstr>IDsALS</vt:lpstr>
      <vt:lpstr>IDsESRF</vt:lpstr>
    </vt:vector>
  </TitlesOfParts>
  <Company>FUJITSU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Shaftan, Timur</dc:creator>
  <cp:lastModifiedBy>David Bruhwiler</cp:lastModifiedBy>
  <cp:lastPrinted>2013-06-24T17:27:01Z</cp:lastPrinted>
  <dcterms:created xsi:type="dcterms:W3CDTF">2013-06-24T17:14:27Z</dcterms:created>
  <dcterms:modified xsi:type="dcterms:W3CDTF">2015-01-27T21:07:24Z</dcterms:modified>
</cp:coreProperties>
</file>